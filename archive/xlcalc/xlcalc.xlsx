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ppData\Local\Temp\xlfix_fmwzz7dq\"/>
    </mc:Choice>
  </mc:AlternateContent>
  <xr:revisionPtr revIDLastSave="0" documentId="13_ncr:1_{27EB1549-1CD0-45FD-9ACA-29793A71E074}" xr6:coauthVersionLast="47" xr6:coauthVersionMax="47" xr10:uidLastSave="{00000000-0000-0000-0000-000000000000}"/>
  <bookViews>
    <workbookView xWindow="1440" yWindow="0" windowWidth="17760" windowHeight="10060" xr2:uid="{CEA52573-00F3-4154-B84F-57718E5D486D}"/>
  </bookViews>
  <sheets>
    <sheet name="메인" sheetId="21" r:id="rId1"/>
    <sheet name="니케목록" sheetId="22" r:id="rId2"/>
    <sheet name="니케스팩" sheetId="17" r:id="rId3"/>
    <sheet name="딜량계산" sheetId="15" r:id="rId4"/>
    <sheet name="버프정리" sheetId="20" r:id="rId5"/>
    <sheet name="딜러데이터" sheetId="19" r:id="rId6"/>
    <sheet name="서포터데이터" sheetId="16" r:id="rId7"/>
  </sheets>
  <externalReferences>
    <externalReference r:id="rId8"/>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20" l="1"/>
  <c r="MB12" i="16"/>
  <c r="MC12" i="16"/>
  <c r="MD12" i="16"/>
  <c r="ME12" i="16"/>
  <c r="MF12" i="16"/>
  <c r="MB10" i="16"/>
  <c r="MC10" i="16"/>
  <c r="ME10" i="16"/>
  <c r="MF10" i="16"/>
  <c r="MB3" i="16"/>
  <c r="MC3" i="16"/>
  <c r="MD3" i="16"/>
  <c r="ME3" i="16"/>
  <c r="MF3" i="16"/>
  <c r="ME8" i="16"/>
  <c r="MC8" i="16"/>
  <c r="MB8" i="16"/>
  <c r="MA8" i="16"/>
  <c r="MA3" i="16"/>
  <c r="MA10" i="16"/>
  <c r="MA12" i="16"/>
  <c r="P21" i="21" l="1"/>
  <c r="N31" i="21"/>
  <c r="MV76" i="19"/>
  <c r="MV75" i="19"/>
  <c r="MU69" i="19"/>
  <c r="MW69" i="19" s="1"/>
  <c r="MX56" i="19"/>
  <c r="MW56" i="19"/>
  <c r="MW6" i="19"/>
  <c r="MU6" i="19"/>
  <c r="MT6" i="19"/>
  <c r="MP69" i="19"/>
  <c r="MP56" i="19"/>
  <c r="ML78" i="19"/>
  <c r="MK78" i="19"/>
  <c r="MJ78" i="19"/>
  <c r="MI78" i="19"/>
  <c r="ML77" i="19"/>
  <c r="MK77" i="19"/>
  <c r="MJ77" i="19"/>
  <c r="ML76" i="19"/>
  <c r="MK76" i="19"/>
  <c r="MJ76" i="19"/>
  <c r="MI76" i="19"/>
  <c r="ML75" i="19"/>
  <c r="MK75" i="19"/>
  <c r="MJ75" i="19"/>
  <c r="MI69" i="19"/>
  <c r="MI64" i="19"/>
  <c r="MI77" i="19" s="1"/>
  <c r="MI62" i="19"/>
  <c r="MI75" i="19" s="1"/>
  <c r="MI56" i="19"/>
  <c r="MG52" i="19"/>
  <c r="MK10" i="19"/>
  <c r="MH10" i="19"/>
  <c r="ML8" i="19"/>
  <c r="MI8" i="19"/>
  <c r="ML6" i="19"/>
  <c r="MK6" i="19"/>
  <c r="MI6" i="19"/>
  <c r="MH6" i="19"/>
  <c r="ME19" i="19"/>
  <c r="MD19" i="19"/>
  <c r="MC19" i="19"/>
  <c r="MB19" i="19"/>
  <c r="MA19" i="19"/>
  <c r="LG19" i="16"/>
  <c r="LE19" i="16"/>
  <c r="LD19" i="16"/>
  <c r="LF19" i="16"/>
  <c r="LC19" i="16"/>
  <c r="AP68" i="19"/>
  <c r="AP55" i="19"/>
  <c r="AR78" i="19"/>
  <c r="AQ78" i="19"/>
  <c r="AP78" i="19"/>
  <c r="AO78" i="19"/>
  <c r="AR77" i="19"/>
  <c r="AQ77" i="19"/>
  <c r="AP77" i="19"/>
  <c r="AR76" i="19"/>
  <c r="AQ76" i="19"/>
  <c r="AP76" i="19"/>
  <c r="AR75" i="19"/>
  <c r="AQ75" i="19"/>
  <c r="AP75" i="19"/>
  <c r="AO69" i="19"/>
  <c r="AR67" i="19"/>
  <c r="AQ67" i="19"/>
  <c r="AP67" i="19"/>
  <c r="AO67" i="19"/>
  <c r="AO64" i="19"/>
  <c r="AO77" i="19" s="1"/>
  <c r="AO63" i="19"/>
  <c r="AO76" i="19" s="1"/>
  <c r="AO62" i="19"/>
  <c r="AO75" i="19" s="1"/>
  <c r="AO56" i="19"/>
  <c r="AM52" i="19"/>
  <c r="MC69" i="19"/>
  <c r="MC56" i="19"/>
  <c r="MD56" i="19" s="1"/>
  <c r="LW69" i="19"/>
  <c r="LY55" i="19"/>
  <c r="LY11" i="19"/>
  <c r="LX11" i="19"/>
  <c r="LW11" i="19"/>
  <c r="LV11" i="19"/>
  <c r="LU11" i="19"/>
  <c r="NJ78" i="19"/>
  <c r="NI78" i="19"/>
  <c r="NH78" i="19"/>
  <c r="NG78" i="19"/>
  <c r="NJ77" i="19"/>
  <c r="NI77" i="19"/>
  <c r="NH77" i="19"/>
  <c r="NJ76" i="19"/>
  <c r="NI76" i="19"/>
  <c r="NH76" i="19"/>
  <c r="NJ75" i="19"/>
  <c r="NI75" i="19"/>
  <c r="NH75" i="19"/>
  <c r="NG69" i="19"/>
  <c r="NG64" i="19"/>
  <c r="NG77" i="19" s="1"/>
  <c r="NG63" i="19"/>
  <c r="NG76" i="19" s="1"/>
  <c r="NG62" i="19"/>
  <c r="NG75" i="19" s="1"/>
  <c r="NG56" i="19"/>
  <c r="NE52" i="19"/>
  <c r="ND78" i="19"/>
  <c r="NC78" i="19"/>
  <c r="NB78" i="19"/>
  <c r="NA78" i="19"/>
  <c r="ND77" i="19"/>
  <c r="NC77" i="19"/>
  <c r="NB77" i="19"/>
  <c r="ND76" i="19"/>
  <c r="NC76" i="19"/>
  <c r="NB76" i="19"/>
  <c r="ND75" i="19"/>
  <c r="NC75" i="19"/>
  <c r="NB75" i="19"/>
  <c r="NA69" i="19"/>
  <c r="NA64" i="19"/>
  <c r="NA77" i="19" s="1"/>
  <c r="NA63" i="19"/>
  <c r="NA76" i="19" s="1"/>
  <c r="NA62" i="19"/>
  <c r="NA75" i="19" s="1"/>
  <c r="NA56" i="19"/>
  <c r="MY52" i="19"/>
  <c r="MX78" i="19"/>
  <c r="MW78" i="19"/>
  <c r="MV78" i="19"/>
  <c r="MU78" i="19"/>
  <c r="MX77" i="19"/>
  <c r="MW77" i="19"/>
  <c r="MV77" i="19"/>
  <c r="MX76" i="19"/>
  <c r="MW76" i="19"/>
  <c r="MX75" i="19"/>
  <c r="MW75" i="19"/>
  <c r="MU77" i="19"/>
  <c r="MU63" i="19"/>
  <c r="MU76" i="19" s="1"/>
  <c r="MU62" i="19"/>
  <c r="MU75" i="19" s="1"/>
  <c r="MS52" i="19"/>
  <c r="MR78" i="19"/>
  <c r="MQ78" i="19"/>
  <c r="MP78" i="19"/>
  <c r="MO78" i="19"/>
  <c r="MR77" i="19"/>
  <c r="MQ77" i="19"/>
  <c r="MP77" i="19"/>
  <c r="MR76" i="19"/>
  <c r="MQ76" i="19"/>
  <c r="MP76" i="19"/>
  <c r="MR75" i="19"/>
  <c r="MQ75" i="19"/>
  <c r="MP75" i="19"/>
  <c r="MO64" i="19"/>
  <c r="MO77" i="19" s="1"/>
  <c r="MO63" i="19"/>
  <c r="MO76" i="19" s="1"/>
  <c r="MO62" i="19"/>
  <c r="MO75" i="19" s="1"/>
  <c r="MM52" i="19"/>
  <c r="MF78" i="19"/>
  <c r="ME78" i="19"/>
  <c r="MD78" i="19"/>
  <c r="MC78" i="19"/>
  <c r="MF77" i="19"/>
  <c r="ME77" i="19"/>
  <c r="MD77" i="19"/>
  <c r="MF76" i="19"/>
  <c r="ME76" i="19"/>
  <c r="MD76" i="19"/>
  <c r="MF75" i="19"/>
  <c r="ME75" i="19"/>
  <c r="MD75" i="19"/>
  <c r="MC64" i="19"/>
  <c r="MC77" i="19" s="1"/>
  <c r="MC63" i="19"/>
  <c r="MC76" i="19" s="1"/>
  <c r="MC62" i="19"/>
  <c r="MC75" i="19" s="1"/>
  <c r="MA52" i="19"/>
  <c r="LR69" i="19"/>
  <c r="LQ8" i="19"/>
  <c r="LP8" i="19"/>
  <c r="LR56" i="19"/>
  <c r="LR8" i="19"/>
  <c r="LS8" i="19"/>
  <c r="LT8" i="19"/>
  <c r="LO8" i="19"/>
  <c r="LK69" i="19"/>
  <c r="LK56" i="19"/>
  <c r="LH69" i="19"/>
  <c r="LG69" i="19"/>
  <c r="LH56" i="19"/>
  <c r="LG56" i="19"/>
  <c r="LG24" i="19"/>
  <c r="LF24" i="19"/>
  <c r="LE24" i="19"/>
  <c r="LD24" i="19"/>
  <c r="LC24" i="19"/>
  <c r="LG8" i="19"/>
  <c r="LF8" i="19"/>
  <c r="LE8" i="19"/>
  <c r="LD8" i="19"/>
  <c r="LC8" i="19"/>
  <c r="LG39" i="19"/>
  <c r="LF39" i="19"/>
  <c r="LE39" i="19"/>
  <c r="LD39" i="19"/>
  <c r="LC39" i="19"/>
  <c r="LN78" i="19"/>
  <c r="LM78" i="19"/>
  <c r="LL78" i="19"/>
  <c r="LK78" i="19"/>
  <c r="LN77" i="19"/>
  <c r="LM77" i="19"/>
  <c r="LL77" i="19"/>
  <c r="LN76" i="19"/>
  <c r="LM76" i="19"/>
  <c r="LL76" i="19"/>
  <c r="LN75" i="19"/>
  <c r="LM75" i="19"/>
  <c r="LL75" i="19"/>
  <c r="LI75" i="19"/>
  <c r="LK64" i="19"/>
  <c r="LK77" i="19" s="1"/>
  <c r="LK63" i="19"/>
  <c r="LK76" i="19" s="1"/>
  <c r="LK62" i="19"/>
  <c r="LK75" i="19" s="1"/>
  <c r="LI52" i="19"/>
  <c r="LC75" i="19"/>
  <c r="LH78" i="19"/>
  <c r="LG78" i="19"/>
  <c r="LF78" i="19"/>
  <c r="LE78" i="19"/>
  <c r="LH77" i="19"/>
  <c r="LG77" i="19"/>
  <c r="LF77" i="19"/>
  <c r="LH76" i="19"/>
  <c r="LG76" i="19"/>
  <c r="LF76" i="19"/>
  <c r="LH75" i="19"/>
  <c r="LG75" i="19"/>
  <c r="LF75" i="19"/>
  <c r="LE64" i="19"/>
  <c r="LE77" i="19" s="1"/>
  <c r="LE63" i="19"/>
  <c r="LE76" i="19" s="1"/>
  <c r="LE62" i="19"/>
  <c r="LE75" i="19" s="1"/>
  <c r="LC52" i="19"/>
  <c r="KY63" i="19"/>
  <c r="KY62" i="19"/>
  <c r="KZ61" i="19"/>
  <c r="KZ60" i="19"/>
  <c r="KY56" i="19"/>
  <c r="KZ56" i="19" s="1"/>
  <c r="KZ74" i="19"/>
  <c r="KZ73" i="19"/>
  <c r="KY69" i="19"/>
  <c r="LA69" i="19" s="1"/>
  <c r="EJ78" i="19"/>
  <c r="EI78" i="19"/>
  <c r="EH78" i="19"/>
  <c r="EG78" i="19"/>
  <c r="EJ77" i="19"/>
  <c r="EI77" i="19"/>
  <c r="EH77" i="19"/>
  <c r="EJ76" i="19"/>
  <c r="EI76" i="19"/>
  <c r="EH76" i="19"/>
  <c r="EJ75" i="19"/>
  <c r="EI75" i="19"/>
  <c r="EH75" i="19"/>
  <c r="EG69" i="19"/>
  <c r="EH69" i="19" s="1"/>
  <c r="EG64" i="19"/>
  <c r="EG77" i="19" s="1"/>
  <c r="EG63" i="19"/>
  <c r="EG76" i="19" s="1"/>
  <c r="EG62" i="19"/>
  <c r="EG75" i="19" s="1"/>
  <c r="EG56" i="19"/>
  <c r="EH56" i="19" s="1"/>
  <c r="EE52" i="19"/>
  <c r="EJ31" i="19"/>
  <c r="EI31" i="19"/>
  <c r="EH31" i="19"/>
  <c r="EE31" i="19"/>
  <c r="IV7" i="16"/>
  <c r="IU7" i="16"/>
  <c r="IZ3" i="16"/>
  <c r="IY3" i="16"/>
  <c r="IX3" i="16"/>
  <c r="IW3" i="16"/>
  <c r="IV3" i="16"/>
  <c r="IU3" i="16"/>
  <c r="DO56" i="19"/>
  <c r="DO69" i="19"/>
  <c r="KS8" i="19"/>
  <c r="KR8" i="19"/>
  <c r="KV20" i="19"/>
  <c r="KU20" i="19"/>
  <c r="KS20" i="19"/>
  <c r="KR20" i="19"/>
  <c r="KM69" i="19"/>
  <c r="KO6" i="19"/>
  <c r="KN6" i="19"/>
  <c r="KM6" i="19"/>
  <c r="KL6" i="19"/>
  <c r="KK6" i="19"/>
  <c r="JT19" i="16"/>
  <c r="JU19" i="16"/>
  <c r="JV19" i="16"/>
  <c r="JW19" i="16"/>
  <c r="JX19" i="16"/>
  <c r="JS19" i="16"/>
  <c r="DL78" i="19"/>
  <c r="DK78" i="19"/>
  <c r="DJ78" i="19"/>
  <c r="DI78" i="19"/>
  <c r="DL77" i="19"/>
  <c r="DK77" i="19"/>
  <c r="DJ77" i="19"/>
  <c r="DL76" i="19"/>
  <c r="DK76" i="19"/>
  <c r="DJ76" i="19"/>
  <c r="DL75" i="19"/>
  <c r="DK75" i="19"/>
  <c r="DJ75" i="19"/>
  <c r="DI69" i="19"/>
  <c r="DI64" i="19"/>
  <c r="DI77" i="19" s="1"/>
  <c r="DI63" i="19"/>
  <c r="DI76" i="19" s="1"/>
  <c r="DI62" i="19"/>
  <c r="DI75" i="19" s="1"/>
  <c r="DG52" i="19"/>
  <c r="MX69" i="19" l="1"/>
  <c r="LA56" i="19"/>
  <c r="KZ69" i="19"/>
  <c r="AL78" i="19"/>
  <c r="AK78" i="19"/>
  <c r="AJ78" i="19"/>
  <c r="AI78" i="19"/>
  <c r="AL77" i="19"/>
  <c r="AK77" i="19"/>
  <c r="AJ77" i="19"/>
  <c r="AL76" i="19"/>
  <c r="AK76" i="19"/>
  <c r="AJ76" i="19"/>
  <c r="AL75" i="19"/>
  <c r="AK75" i="19"/>
  <c r="AJ75" i="19"/>
  <c r="AI69" i="19"/>
  <c r="AJ68" i="19"/>
  <c r="AL67" i="19"/>
  <c r="AK67" i="19"/>
  <c r="AJ67" i="19"/>
  <c r="AI67" i="19"/>
  <c r="AI64" i="19"/>
  <c r="AI77" i="19" s="1"/>
  <c r="AI63" i="19"/>
  <c r="AI76" i="19" s="1"/>
  <c r="AI62" i="19"/>
  <c r="AI75" i="19" s="1"/>
  <c r="AK55" i="19"/>
  <c r="AG52" i="19"/>
  <c r="KD78" i="19"/>
  <c r="KC78" i="19"/>
  <c r="KB78" i="19"/>
  <c r="KA78" i="19"/>
  <c r="KD77" i="19"/>
  <c r="KC77" i="19"/>
  <c r="KB77" i="19"/>
  <c r="KD76" i="19"/>
  <c r="KC76" i="19"/>
  <c r="KB76" i="19"/>
  <c r="KD75" i="19"/>
  <c r="KC75" i="19"/>
  <c r="KB75" i="19"/>
  <c r="KA69" i="19"/>
  <c r="KA64" i="19"/>
  <c r="KA77" i="19" s="1"/>
  <c r="KA63" i="19"/>
  <c r="KA76" i="19" s="1"/>
  <c r="KA62" i="19"/>
  <c r="KA75" i="19" s="1"/>
  <c r="JY52" i="19"/>
  <c r="JU69" i="19"/>
  <c r="JO69" i="19"/>
  <c r="JQ69" i="19" s="1"/>
  <c r="JQ22" i="19"/>
  <c r="JO22" i="19"/>
  <c r="JN22" i="19"/>
  <c r="F5" i="21" a="1"/>
  <c r="HG56" i="19"/>
  <c r="HG69" i="19"/>
  <c r="IU55" i="19"/>
  <c r="IW69" i="19"/>
  <c r="IW56" i="19"/>
  <c r="IW29" i="19"/>
  <c r="IV29" i="19"/>
  <c r="IU29" i="19"/>
  <c r="IY29" i="19"/>
  <c r="IX29" i="19"/>
  <c r="IY3" i="19"/>
  <c r="IX3" i="19"/>
  <c r="IW3" i="19"/>
  <c r="IV3" i="19"/>
  <c r="IU3" i="19"/>
  <c r="JL78" i="19"/>
  <c r="JK78" i="19"/>
  <c r="JJ78" i="19"/>
  <c r="JI78" i="19"/>
  <c r="JL77" i="19"/>
  <c r="JK77" i="19"/>
  <c r="JJ77" i="19"/>
  <c r="JL76" i="19"/>
  <c r="JK76" i="19"/>
  <c r="JJ76" i="19"/>
  <c r="JL75" i="19"/>
  <c r="JK75" i="19"/>
  <c r="JJ75" i="19"/>
  <c r="JI64" i="19"/>
  <c r="JI77" i="19" s="1"/>
  <c r="JI63" i="19"/>
  <c r="JI76" i="19" s="1"/>
  <c r="JI62" i="19"/>
  <c r="JI75" i="19" s="1"/>
  <c r="JJ58" i="19"/>
  <c r="JJ55" i="19"/>
  <c r="JG52" i="19"/>
  <c r="JD69" i="19"/>
  <c r="JD56" i="19"/>
  <c r="IQ69" i="19"/>
  <c r="IK69" i="19"/>
  <c r="IK56" i="19"/>
  <c r="IM39" i="19"/>
  <c r="IL39" i="19"/>
  <c r="IK39" i="19"/>
  <c r="IJ39" i="19"/>
  <c r="II39" i="19"/>
  <c r="IM6" i="19"/>
  <c r="IL6" i="19"/>
  <c r="IK6" i="19"/>
  <c r="II6" i="19"/>
  <c r="IJ6" i="19"/>
  <c r="IH78" i="19"/>
  <c r="IG78" i="19"/>
  <c r="IF78" i="19"/>
  <c r="IE78" i="19"/>
  <c r="IH77" i="19"/>
  <c r="IG77" i="19"/>
  <c r="IF77" i="19"/>
  <c r="IH76" i="19"/>
  <c r="IG76" i="19"/>
  <c r="IF76" i="19"/>
  <c r="IH75" i="19"/>
  <c r="IG75" i="19"/>
  <c r="IF75" i="19"/>
  <c r="IE69" i="19"/>
  <c r="IE64" i="19"/>
  <c r="IE77" i="19" s="1"/>
  <c r="IE63" i="19"/>
  <c r="IE76" i="19" s="1"/>
  <c r="IE62" i="19"/>
  <c r="IE75" i="19" s="1"/>
  <c r="IE56" i="19"/>
  <c r="IC52" i="19"/>
  <c r="HY69" i="19"/>
  <c r="HS69" i="19"/>
  <c r="HU69" i="19" s="1"/>
  <c r="HN69" i="19"/>
  <c r="HM69" i="19"/>
  <c r="HN56" i="19"/>
  <c r="FW69" i="19"/>
  <c r="FX69" i="19" s="1"/>
  <c r="FQ69" i="19"/>
  <c r="FR69" i="19" s="1"/>
  <c r="FK69" i="19"/>
  <c r="HM64" i="19"/>
  <c r="HM77" i="19" s="1"/>
  <c r="JK10" i="16"/>
  <c r="JI10" i="16"/>
  <c r="JH10" i="16"/>
  <c r="FE69" i="19"/>
  <c r="HA69" i="19"/>
  <c r="HA56" i="19"/>
  <c r="JE22" i="16"/>
  <c r="JC22" i="16"/>
  <c r="JB22" i="16"/>
  <c r="GU69" i="19"/>
  <c r="GV69" i="19" s="1"/>
  <c r="GW69" i="19"/>
  <c r="GW56" i="19"/>
  <c r="GU56" i="19"/>
  <c r="GV56" i="19" s="1"/>
  <c r="GP68" i="19"/>
  <c r="GP55" i="19"/>
  <c r="GJ68" i="19"/>
  <c r="GJ55" i="19"/>
  <c r="GC69" i="19"/>
  <c r="FK56" i="19"/>
  <c r="FQ56" i="19"/>
  <c r="FR56" i="19" s="1"/>
  <c r="FW56" i="19"/>
  <c r="FX56" i="19" s="1"/>
  <c r="GR78" i="19"/>
  <c r="GQ78" i="19"/>
  <c r="GP78" i="19"/>
  <c r="GO78" i="19"/>
  <c r="GR77" i="19"/>
  <c r="GQ77" i="19"/>
  <c r="GP77" i="19"/>
  <c r="GR76" i="19"/>
  <c r="GQ76" i="19"/>
  <c r="GP76" i="19"/>
  <c r="GR75" i="19"/>
  <c r="GQ75" i="19"/>
  <c r="GP75" i="19"/>
  <c r="GO64" i="19"/>
  <c r="GO77" i="19" s="1"/>
  <c r="GO63" i="19"/>
  <c r="GO76" i="19" s="1"/>
  <c r="GO62" i="19"/>
  <c r="GO75" i="19" s="1"/>
  <c r="GM52" i="19"/>
  <c r="FZ78" i="19"/>
  <c r="FY78" i="19"/>
  <c r="FX78" i="19"/>
  <c r="FW78" i="19"/>
  <c r="FT78" i="19"/>
  <c r="FS78" i="19"/>
  <c r="FR78" i="19"/>
  <c r="FQ78" i="19"/>
  <c r="FN78" i="19"/>
  <c r="FM78" i="19"/>
  <c r="FL78" i="19"/>
  <c r="FK78" i="19"/>
  <c r="FZ77" i="19"/>
  <c r="FY77" i="19"/>
  <c r="FX77" i="19"/>
  <c r="FT77" i="19"/>
  <c r="FS77" i="19"/>
  <c r="FR77" i="19"/>
  <c r="FN77" i="19"/>
  <c r="FM77" i="19"/>
  <c r="FL77" i="19"/>
  <c r="FZ76" i="19"/>
  <c r="FY76" i="19"/>
  <c r="FX76" i="19"/>
  <c r="FT76" i="19"/>
  <c r="FS76" i="19"/>
  <c r="FR76" i="19"/>
  <c r="FN76" i="19"/>
  <c r="FM76" i="19"/>
  <c r="FL76" i="19"/>
  <c r="FZ75" i="19"/>
  <c r="FY75" i="19"/>
  <c r="FX75" i="19"/>
  <c r="FT75" i="19"/>
  <c r="FS75" i="19"/>
  <c r="FR75" i="19"/>
  <c r="FN75" i="19"/>
  <c r="FM75" i="19"/>
  <c r="FL75" i="19"/>
  <c r="FX68" i="19"/>
  <c r="FW64" i="19"/>
  <c r="FW77" i="19" s="1"/>
  <c r="FQ64" i="19"/>
  <c r="FQ77" i="19" s="1"/>
  <c r="FK64" i="19"/>
  <c r="FK77" i="19" s="1"/>
  <c r="FW63" i="19"/>
  <c r="FW76" i="19" s="1"/>
  <c r="FQ63" i="19"/>
  <c r="FQ76" i="19" s="1"/>
  <c r="FK63" i="19"/>
  <c r="FK76" i="19" s="1"/>
  <c r="FW62" i="19"/>
  <c r="FW75" i="19" s="1"/>
  <c r="FQ62" i="19"/>
  <c r="FQ75" i="19" s="1"/>
  <c r="FK62" i="19"/>
  <c r="FK75" i="19" s="1"/>
  <c r="FY56" i="19"/>
  <c r="FZ56" i="19" s="1"/>
  <c r="FS56" i="19"/>
  <c r="FT56" i="19" s="1"/>
  <c r="FY55" i="19"/>
  <c r="FX55" i="19"/>
  <c r="FU52" i="19"/>
  <c r="FO52" i="19"/>
  <c r="FI52" i="19"/>
  <c r="FY47" i="19"/>
  <c r="FX47" i="19"/>
  <c r="FW47" i="19"/>
  <c r="FV47" i="19"/>
  <c r="FU47" i="19"/>
  <c r="FS47" i="19"/>
  <c r="FR47" i="19"/>
  <c r="FQ47" i="19"/>
  <c r="FP47" i="19"/>
  <c r="FO47" i="19"/>
  <c r="FM22" i="19"/>
  <c r="FL22" i="19"/>
  <c r="FK22" i="19"/>
  <c r="FJ22" i="19"/>
  <c r="FI22" i="19"/>
  <c r="F6" i="21" a="1"/>
  <c r="E3" i="20"/>
  <c r="E31" i="20" s="1" a="1"/>
  <c r="F3" i="20"/>
  <c r="F7" i="20" s="1" a="1"/>
  <c r="G3" i="20"/>
  <c r="G8" i="20" s="1" a="1"/>
  <c r="H3" i="20"/>
  <c r="H7" i="20" s="1" a="1"/>
  <c r="C7" i="20"/>
  <c r="G5" i="21" a="1"/>
  <c r="H5" i="21" a="1"/>
  <c r="I5" i="21" a="1"/>
  <c r="C15" i="15" a="1"/>
  <c r="G18" i="21" s="1"/>
  <c r="C16" i="15" a="1"/>
  <c r="C17" i="15" a="1"/>
  <c r="C18" i="15" a="1"/>
  <c r="C23" i="20"/>
  <c r="C10" i="15" a="1"/>
  <c r="AC3" i="20"/>
  <c r="AC40" i="20" s="1" a="1"/>
  <c r="AD3" i="20"/>
  <c r="AD32" i="20" s="1" a="1"/>
  <c r="AE3" i="20"/>
  <c r="AE19" i="20" s="1" a="1"/>
  <c r="AF3" i="20"/>
  <c r="AF31" i="20" s="1" a="1"/>
  <c r="AD68" i="19"/>
  <c r="EY6" i="19"/>
  <c r="FB6" i="19"/>
  <c r="EV6" i="19"/>
  <c r="EX6" i="19"/>
  <c r="EU6" i="19"/>
  <c r="ER6" i="19"/>
  <c r="ES6" i="19"/>
  <c r="FA6" i="19"/>
  <c r="FB78" i="19"/>
  <c r="FA78" i="19"/>
  <c r="EZ78" i="19"/>
  <c r="EY78" i="19"/>
  <c r="FB77" i="19"/>
  <c r="FA77" i="19"/>
  <c r="EZ77" i="19"/>
  <c r="FB76" i="19"/>
  <c r="FA76" i="19"/>
  <c r="EZ76" i="19"/>
  <c r="FB75" i="19"/>
  <c r="FA75" i="19"/>
  <c r="EZ75" i="19"/>
  <c r="EY69" i="19"/>
  <c r="EZ69" i="19" s="1"/>
  <c r="EY64" i="19"/>
  <c r="EY77" i="19" s="1"/>
  <c r="EY63" i="19"/>
  <c r="EY76" i="19" s="1"/>
  <c r="EY62" i="19"/>
  <c r="EY75" i="19" s="1"/>
  <c r="EY56" i="19"/>
  <c r="EZ56" i="19" s="1"/>
  <c r="EW52" i="19"/>
  <c r="ES69" i="19"/>
  <c r="ET69" i="19" s="1"/>
  <c r="EM69" i="19"/>
  <c r="EK6" i="19"/>
  <c r="EL7" i="19"/>
  <c r="EK7" i="19"/>
  <c r="EP3" i="19"/>
  <c r="EO3" i="19"/>
  <c r="EN3" i="19"/>
  <c r="EM3" i="19"/>
  <c r="EL3" i="19"/>
  <c r="EK3" i="19"/>
  <c r="IP7" i="16"/>
  <c r="IO7" i="16"/>
  <c r="IP3" i="16"/>
  <c r="IQ3" i="16"/>
  <c r="IR3" i="16"/>
  <c r="IS3" i="16"/>
  <c r="IT3" i="16"/>
  <c r="IO3" i="16"/>
  <c r="EA69" i="19"/>
  <c r="EB69" i="19" s="1"/>
  <c r="DZ31" i="19"/>
  <c r="EA31" i="19"/>
  <c r="EB31" i="19"/>
  <c r="EC31" i="19"/>
  <c r="ED31" i="19"/>
  <c r="DY31" i="19"/>
  <c r="LZ78" i="19"/>
  <c r="LY78" i="19"/>
  <c r="LX78" i="19"/>
  <c r="LW78" i="19"/>
  <c r="LT78" i="19"/>
  <c r="LS78" i="19"/>
  <c r="LR78" i="19"/>
  <c r="LQ78" i="19"/>
  <c r="LZ77" i="19"/>
  <c r="LY77" i="19"/>
  <c r="LX77" i="19"/>
  <c r="LT77" i="19"/>
  <c r="LS77" i="19"/>
  <c r="LR77" i="19"/>
  <c r="LZ76" i="19"/>
  <c r="LY76" i="19"/>
  <c r="LX76" i="19"/>
  <c r="LT76" i="19"/>
  <c r="LS76" i="19"/>
  <c r="LR76" i="19"/>
  <c r="LZ75" i="19"/>
  <c r="LY75" i="19"/>
  <c r="LX75" i="19"/>
  <c r="LT75" i="19"/>
  <c r="LS75" i="19"/>
  <c r="LR75" i="19"/>
  <c r="LW64" i="19"/>
  <c r="LW77" i="19" s="1"/>
  <c r="LQ64" i="19"/>
  <c r="LQ77" i="19" s="1"/>
  <c r="LW63" i="19"/>
  <c r="LW76" i="19" s="1"/>
  <c r="LQ63" i="19"/>
  <c r="LQ76" i="19" s="1"/>
  <c r="LW62" i="19"/>
  <c r="LW75" i="19" s="1"/>
  <c r="LQ62" i="19"/>
  <c r="LQ75" i="19" s="1"/>
  <c r="LW56" i="19"/>
  <c r="LU52" i="19"/>
  <c r="LO52" i="19"/>
  <c r="LB78" i="19"/>
  <c r="LA78" i="19"/>
  <c r="KZ78" i="19"/>
  <c r="KY78" i="19"/>
  <c r="KV78" i="19"/>
  <c r="KU78" i="19"/>
  <c r="KT78" i="19"/>
  <c r="KS78" i="19"/>
  <c r="LB77" i="19"/>
  <c r="LA77" i="19"/>
  <c r="KZ77" i="19"/>
  <c r="KV77" i="19"/>
  <c r="KU77" i="19"/>
  <c r="KT77" i="19"/>
  <c r="LB76" i="19"/>
  <c r="LA76" i="19"/>
  <c r="KZ76" i="19"/>
  <c r="KV76" i="19"/>
  <c r="KU76" i="19"/>
  <c r="KT76" i="19"/>
  <c r="LB75" i="19"/>
  <c r="LA75" i="19"/>
  <c r="KZ75" i="19"/>
  <c r="KV75" i="19"/>
  <c r="KU75" i="19"/>
  <c r="KT75" i="19"/>
  <c r="KY64" i="19"/>
  <c r="KY77" i="19" s="1"/>
  <c r="KS64" i="19"/>
  <c r="KS77" i="19" s="1"/>
  <c r="KY76" i="19"/>
  <c r="KS63" i="19"/>
  <c r="KS76" i="19" s="1"/>
  <c r="KY75" i="19"/>
  <c r="KW52" i="19"/>
  <c r="KQ52" i="19"/>
  <c r="KP78" i="19"/>
  <c r="KO78" i="19"/>
  <c r="KN78" i="19"/>
  <c r="KM78" i="19"/>
  <c r="KJ78" i="19"/>
  <c r="KI78" i="19"/>
  <c r="KH78" i="19"/>
  <c r="KG78" i="19"/>
  <c r="KP77" i="19"/>
  <c r="KO77" i="19"/>
  <c r="KN77" i="19"/>
  <c r="KJ77" i="19"/>
  <c r="KI77" i="19"/>
  <c r="KH77" i="19"/>
  <c r="KP76" i="19"/>
  <c r="KO76" i="19"/>
  <c r="KN76" i="19"/>
  <c r="KJ76" i="19"/>
  <c r="KI76" i="19"/>
  <c r="KH76" i="19"/>
  <c r="KP75" i="19"/>
  <c r="KO75" i="19"/>
  <c r="KN75" i="19"/>
  <c r="KJ75" i="19"/>
  <c r="KI75" i="19"/>
  <c r="KH75" i="19"/>
  <c r="KM64" i="19"/>
  <c r="KM77" i="19" s="1"/>
  <c r="KG64" i="19"/>
  <c r="KG77" i="19" s="1"/>
  <c r="KM63" i="19"/>
  <c r="KM76" i="19" s="1"/>
  <c r="KM62" i="19"/>
  <c r="KM75" i="19" s="1"/>
  <c r="KG62" i="19"/>
  <c r="KG75" i="19" s="1"/>
  <c r="KM56" i="19"/>
  <c r="KK52" i="19"/>
  <c r="KE52" i="19"/>
  <c r="JX78" i="19"/>
  <c r="JW78" i="19"/>
  <c r="JV78" i="19"/>
  <c r="JU78" i="19"/>
  <c r="JR78" i="19"/>
  <c r="JQ78" i="19"/>
  <c r="JP78" i="19"/>
  <c r="JO78" i="19"/>
  <c r="JX77" i="19"/>
  <c r="JW77" i="19"/>
  <c r="JV77" i="19"/>
  <c r="JR77" i="19"/>
  <c r="JQ77" i="19"/>
  <c r="JP77" i="19"/>
  <c r="JX76" i="19"/>
  <c r="JW76" i="19"/>
  <c r="JV76" i="19"/>
  <c r="JR76" i="19"/>
  <c r="JQ76" i="19"/>
  <c r="JP76" i="19"/>
  <c r="JX75" i="19"/>
  <c r="JW75" i="19"/>
  <c r="JV75" i="19"/>
  <c r="JR75" i="19"/>
  <c r="JQ75" i="19"/>
  <c r="JP75" i="19"/>
  <c r="JU64" i="19"/>
  <c r="JU77" i="19" s="1"/>
  <c r="JO64" i="19"/>
  <c r="JO77" i="19" s="1"/>
  <c r="JU63" i="19"/>
  <c r="JU76" i="19" s="1"/>
  <c r="JO63" i="19"/>
  <c r="JO76" i="19" s="1"/>
  <c r="JU62" i="19"/>
  <c r="JU75" i="19" s="1"/>
  <c r="JO62" i="19"/>
  <c r="JO75" i="19" s="1"/>
  <c r="JO56" i="19"/>
  <c r="JQ56" i="19" s="1"/>
  <c r="JS52" i="19"/>
  <c r="JM52" i="19"/>
  <c r="JF78" i="19"/>
  <c r="JE78" i="19"/>
  <c r="JD78" i="19"/>
  <c r="JC78" i="19"/>
  <c r="JF77" i="19"/>
  <c r="JE77" i="19"/>
  <c r="JD77" i="19"/>
  <c r="JF76" i="19"/>
  <c r="JE76" i="19"/>
  <c r="JD76" i="19"/>
  <c r="JF75" i="19"/>
  <c r="JE75" i="19"/>
  <c r="JD75" i="19"/>
  <c r="JC64" i="19"/>
  <c r="JC77" i="19" s="1"/>
  <c r="JC63" i="19"/>
  <c r="JC76" i="19" s="1"/>
  <c r="JC62" i="19"/>
  <c r="JC75" i="19" s="1"/>
  <c r="JA52" i="19"/>
  <c r="IZ78" i="19"/>
  <c r="IY78" i="19"/>
  <c r="IX78" i="19"/>
  <c r="IW78" i="19"/>
  <c r="IZ77" i="19"/>
  <c r="IY77" i="19"/>
  <c r="IX77" i="19"/>
  <c r="IZ76" i="19"/>
  <c r="IY76" i="19"/>
  <c r="IX76" i="19"/>
  <c r="IZ75" i="19"/>
  <c r="IY75" i="19"/>
  <c r="IX75" i="19"/>
  <c r="IW64" i="19"/>
  <c r="IW77" i="19" s="1"/>
  <c r="IW63" i="19"/>
  <c r="IW76" i="19" s="1"/>
  <c r="IW62" i="19"/>
  <c r="IW75" i="19" s="1"/>
  <c r="IU52" i="19"/>
  <c r="IT78" i="19"/>
  <c r="IS78" i="19"/>
  <c r="IR78" i="19"/>
  <c r="IQ78" i="19"/>
  <c r="IT77" i="19"/>
  <c r="IS77" i="19"/>
  <c r="IR77" i="19"/>
  <c r="IT76" i="19"/>
  <c r="IS76" i="19"/>
  <c r="IR76" i="19"/>
  <c r="IT75" i="19"/>
  <c r="IS75" i="19"/>
  <c r="IR75" i="19"/>
  <c r="IQ64" i="19"/>
  <c r="IQ77" i="19" s="1"/>
  <c r="IQ63" i="19"/>
  <c r="IQ76" i="19" s="1"/>
  <c r="IQ62" i="19"/>
  <c r="IQ75" i="19" s="1"/>
  <c r="IQ56" i="19"/>
  <c r="IO52" i="19"/>
  <c r="IN78" i="19"/>
  <c r="IM78" i="19"/>
  <c r="IL78" i="19"/>
  <c r="IK78" i="19"/>
  <c r="IN77" i="19"/>
  <c r="IM77" i="19"/>
  <c r="IL77" i="19"/>
  <c r="IN76" i="19"/>
  <c r="IM76" i="19"/>
  <c r="IL76" i="19"/>
  <c r="IN75" i="19"/>
  <c r="IM75" i="19"/>
  <c r="IL75" i="19"/>
  <c r="IK64" i="19"/>
  <c r="IK77" i="19" s="1"/>
  <c r="IK63" i="19"/>
  <c r="IK76" i="19" s="1"/>
  <c r="IK62" i="19"/>
  <c r="IK75" i="19" s="1"/>
  <c r="II52" i="19"/>
  <c r="IB78" i="19"/>
  <c r="IA78" i="19"/>
  <c r="HZ78" i="19"/>
  <c r="HY78" i="19"/>
  <c r="IB77" i="19"/>
  <c r="IA77" i="19"/>
  <c r="HZ77" i="19"/>
  <c r="IB76" i="19"/>
  <c r="IA76" i="19"/>
  <c r="HZ76" i="19"/>
  <c r="IB75" i="19"/>
  <c r="IA75" i="19"/>
  <c r="HZ75" i="19"/>
  <c r="HY64" i="19"/>
  <c r="HY77" i="19" s="1"/>
  <c r="HY63" i="19"/>
  <c r="HY76" i="19" s="1"/>
  <c r="HY62" i="19"/>
  <c r="HY75" i="19" s="1"/>
  <c r="HY56" i="19"/>
  <c r="HW52" i="19"/>
  <c r="HV78" i="19"/>
  <c r="HU78" i="19"/>
  <c r="HT78" i="19"/>
  <c r="HS78" i="19"/>
  <c r="HV77" i="19"/>
  <c r="HU77" i="19"/>
  <c r="HT77" i="19"/>
  <c r="HV76" i="19"/>
  <c r="HU76" i="19"/>
  <c r="HT76" i="19"/>
  <c r="HV75" i="19"/>
  <c r="HU75" i="19"/>
  <c r="HT75" i="19"/>
  <c r="HS64" i="19"/>
  <c r="HS77" i="19" s="1"/>
  <c r="HS63" i="19"/>
  <c r="HS76" i="19" s="1"/>
  <c r="HS62" i="19"/>
  <c r="HS75" i="19" s="1"/>
  <c r="HS56" i="19"/>
  <c r="HU56" i="19" s="1"/>
  <c r="HQ52" i="19"/>
  <c r="HP78" i="19"/>
  <c r="HO78" i="19"/>
  <c r="HN78" i="19"/>
  <c r="HM78" i="19"/>
  <c r="HP77" i="19"/>
  <c r="HO77" i="19"/>
  <c r="HN77" i="19"/>
  <c r="HP76" i="19"/>
  <c r="HO76" i="19"/>
  <c r="HN76" i="19"/>
  <c r="HP75" i="19"/>
  <c r="HO75" i="19"/>
  <c r="HN75" i="19"/>
  <c r="HM63" i="19"/>
  <c r="HM76" i="19" s="1"/>
  <c r="HM62" i="19"/>
  <c r="HM75" i="19" s="1"/>
  <c r="HM56" i="19"/>
  <c r="HK52" i="19"/>
  <c r="HJ78" i="19"/>
  <c r="HI78" i="19"/>
  <c r="HH78" i="19"/>
  <c r="HG78" i="19"/>
  <c r="HJ77" i="19"/>
  <c r="HI77" i="19"/>
  <c r="HH77" i="19"/>
  <c r="HJ76" i="19"/>
  <c r="HI76" i="19"/>
  <c r="HH76" i="19"/>
  <c r="HJ75" i="19"/>
  <c r="HI75" i="19"/>
  <c r="HH75" i="19"/>
  <c r="HG77" i="19"/>
  <c r="HG63" i="19"/>
  <c r="HG76" i="19" s="1"/>
  <c r="HG62" i="19"/>
  <c r="HG75" i="19" s="1"/>
  <c r="HE52" i="19"/>
  <c r="HD78" i="19"/>
  <c r="HC78" i="19"/>
  <c r="HB78" i="19"/>
  <c r="HA78" i="19"/>
  <c r="HD77" i="19"/>
  <c r="HC77" i="19"/>
  <c r="HB77" i="19"/>
  <c r="HD76" i="19"/>
  <c r="HC76" i="19"/>
  <c r="HB76" i="19"/>
  <c r="HD75" i="19"/>
  <c r="HC75" i="19"/>
  <c r="HB75" i="19"/>
  <c r="HA64" i="19"/>
  <c r="HA77" i="19" s="1"/>
  <c r="HA63" i="19"/>
  <c r="HA76" i="19" s="1"/>
  <c r="HA62" i="19"/>
  <c r="HA75" i="19" s="1"/>
  <c r="GY52" i="19"/>
  <c r="GX78" i="19"/>
  <c r="GW78" i="19"/>
  <c r="GV78" i="19"/>
  <c r="GU78" i="19"/>
  <c r="GX77" i="19"/>
  <c r="GW77" i="19"/>
  <c r="GV77" i="19"/>
  <c r="GX76" i="19"/>
  <c r="GW76" i="19"/>
  <c r="GV76" i="19"/>
  <c r="GX75" i="19"/>
  <c r="GW75" i="19"/>
  <c r="GV75" i="19"/>
  <c r="GU64" i="19"/>
  <c r="GU77" i="19" s="1"/>
  <c r="GU63" i="19"/>
  <c r="GU76" i="19" s="1"/>
  <c r="GU62" i="19"/>
  <c r="GU75" i="19" s="1"/>
  <c r="GS52" i="19"/>
  <c r="GL78" i="19"/>
  <c r="GK78" i="19"/>
  <c r="GJ78" i="19"/>
  <c r="GI78" i="19"/>
  <c r="GL77" i="19"/>
  <c r="GK77" i="19"/>
  <c r="GJ77" i="19"/>
  <c r="GL76" i="19"/>
  <c r="GK76" i="19"/>
  <c r="GJ76" i="19"/>
  <c r="GL75" i="19"/>
  <c r="GK75" i="19"/>
  <c r="GJ75" i="19"/>
  <c r="GI64" i="19"/>
  <c r="GI77" i="19" s="1"/>
  <c r="GI63" i="19"/>
  <c r="GI76" i="19" s="1"/>
  <c r="GI62" i="19"/>
  <c r="GI75" i="19" s="1"/>
  <c r="GG52" i="19"/>
  <c r="GF78" i="19"/>
  <c r="GE78" i="19"/>
  <c r="GD78" i="19"/>
  <c r="GC78" i="19"/>
  <c r="GF77" i="19"/>
  <c r="GE77" i="19"/>
  <c r="GD77" i="19"/>
  <c r="GF76" i="19"/>
  <c r="GE76" i="19"/>
  <c r="GD76" i="19"/>
  <c r="GF75" i="19"/>
  <c r="GE75" i="19"/>
  <c r="GD75" i="19"/>
  <c r="GC64" i="19"/>
  <c r="GC77" i="19" s="1"/>
  <c r="GC63" i="19"/>
  <c r="GC76" i="19" s="1"/>
  <c r="GC62" i="19"/>
  <c r="GC75" i="19" s="1"/>
  <c r="GC56" i="19"/>
  <c r="GA52" i="19"/>
  <c r="FH78" i="19"/>
  <c r="FG78" i="19"/>
  <c r="FF78" i="19"/>
  <c r="FE78" i="19"/>
  <c r="FH77" i="19"/>
  <c r="FG77" i="19"/>
  <c r="FF77" i="19"/>
  <c r="FE64" i="19"/>
  <c r="FE77" i="19" s="1"/>
  <c r="FH76" i="19"/>
  <c r="FG76" i="19"/>
  <c r="FF76" i="19"/>
  <c r="FH75" i="19"/>
  <c r="FG75" i="19"/>
  <c r="FF75" i="19"/>
  <c r="FE63" i="19"/>
  <c r="FE76" i="19" s="1"/>
  <c r="FE62" i="19"/>
  <c r="FE75" i="19" s="1"/>
  <c r="FE56" i="19"/>
  <c r="FC52" i="19"/>
  <c r="EV78" i="19"/>
  <c r="EU78" i="19"/>
  <c r="ET78" i="19"/>
  <c r="ES78" i="19"/>
  <c r="EV77" i="19"/>
  <c r="EU77" i="19"/>
  <c r="ET77" i="19"/>
  <c r="EV76" i="19"/>
  <c r="EU76" i="19"/>
  <c r="ET76" i="19"/>
  <c r="EV75" i="19"/>
  <c r="EU75" i="19"/>
  <c r="ET75" i="19"/>
  <c r="ES64" i="19"/>
  <c r="ES77" i="19" s="1"/>
  <c r="ES63" i="19"/>
  <c r="ES76" i="19" s="1"/>
  <c r="ES62" i="19"/>
  <c r="ES75" i="19" s="1"/>
  <c r="ES56" i="19"/>
  <c r="ET56" i="19" s="1"/>
  <c r="EQ52" i="19"/>
  <c r="EP78" i="19"/>
  <c r="EO78" i="19"/>
  <c r="EN78" i="19"/>
  <c r="EM78" i="19"/>
  <c r="EP77" i="19"/>
  <c r="EO77" i="19"/>
  <c r="EN77" i="19"/>
  <c r="EP76" i="19"/>
  <c r="EO76" i="19"/>
  <c r="EN76" i="19"/>
  <c r="EP75" i="19"/>
  <c r="EO75" i="19"/>
  <c r="EN75" i="19"/>
  <c r="EM64" i="19"/>
  <c r="EM77" i="19" s="1"/>
  <c r="EM63" i="19"/>
  <c r="EM76" i="19" s="1"/>
  <c r="EM62" i="19"/>
  <c r="EM75" i="19" s="1"/>
  <c r="EM56" i="19"/>
  <c r="EK52" i="19"/>
  <c r="ED78" i="19"/>
  <c r="EC78" i="19"/>
  <c r="EB78" i="19"/>
  <c r="EA78" i="19"/>
  <c r="ED77" i="19"/>
  <c r="EC77" i="19"/>
  <c r="EB77" i="19"/>
  <c r="ED76" i="19"/>
  <c r="EC76" i="19"/>
  <c r="EB76" i="19"/>
  <c r="ED75" i="19"/>
  <c r="EC75" i="19"/>
  <c r="EB75" i="19"/>
  <c r="EA64" i="19"/>
  <c r="EA77" i="19" s="1"/>
  <c r="EA63" i="19"/>
  <c r="EA76" i="19" s="1"/>
  <c r="EA62" i="19"/>
  <c r="EA75" i="19" s="1"/>
  <c r="EA56" i="19"/>
  <c r="EB56" i="19" s="1"/>
  <c r="DY52" i="19"/>
  <c r="DU69" i="19"/>
  <c r="DV69" i="19" s="1"/>
  <c r="DW35" i="19"/>
  <c r="DV35" i="19"/>
  <c r="DU35" i="19"/>
  <c r="DT35" i="19"/>
  <c r="DS35" i="19"/>
  <c r="DW22" i="19"/>
  <c r="DV22" i="19"/>
  <c r="DU22" i="19"/>
  <c r="DT22" i="19"/>
  <c r="DS22" i="19"/>
  <c r="AC67" i="19"/>
  <c r="CZ78" i="19"/>
  <c r="CY78" i="19"/>
  <c r="CX78" i="19"/>
  <c r="CW78" i="19"/>
  <c r="CZ77" i="19"/>
  <c r="CY77" i="19"/>
  <c r="CX77" i="19"/>
  <c r="CZ76" i="19"/>
  <c r="CY76" i="19"/>
  <c r="CX76" i="19"/>
  <c r="CZ75" i="19"/>
  <c r="CY75" i="19"/>
  <c r="CX75" i="19"/>
  <c r="CW69" i="19"/>
  <c r="CX69" i="19" s="1"/>
  <c r="CW64" i="19"/>
  <c r="CW77" i="19" s="1"/>
  <c r="CW63" i="19"/>
  <c r="CW76" i="19" s="1"/>
  <c r="CW62" i="19"/>
  <c r="CW75" i="19" s="1"/>
  <c r="CW56" i="19"/>
  <c r="CX56" i="19" s="1"/>
  <c r="CU52" i="19"/>
  <c r="CQ69" i="19"/>
  <c r="CR69" i="19" s="1"/>
  <c r="DC69" i="19"/>
  <c r="CK69" i="19"/>
  <c r="CM69" i="19" s="1"/>
  <c r="DN6" i="19"/>
  <c r="DO6" i="19"/>
  <c r="DP6" i="19"/>
  <c r="DQ6" i="19"/>
  <c r="DR6" i="19"/>
  <c r="DM6" i="19"/>
  <c r="DO62" i="19"/>
  <c r="DO75" i="19" s="1"/>
  <c r="CI52" i="19"/>
  <c r="CG74" i="19"/>
  <c r="CF74" i="19"/>
  <c r="CG73" i="19"/>
  <c r="CF73" i="19"/>
  <c r="CE69" i="19"/>
  <c r="CF69" i="19" s="1"/>
  <c r="CG61" i="19"/>
  <c r="CF61" i="19"/>
  <c r="CG60" i="19"/>
  <c r="CF60" i="19"/>
  <c r="I3" i="20"/>
  <c r="I10" i="20" s="1" a="1"/>
  <c r="J5" i="21" a="1"/>
  <c r="BZ69" i="19"/>
  <c r="BY69" i="19"/>
  <c r="BZ56" i="19"/>
  <c r="DX78" i="19"/>
  <c r="DW78" i="19"/>
  <c r="DV78" i="19"/>
  <c r="DU78" i="19"/>
  <c r="DX77" i="19"/>
  <c r="DW77" i="19"/>
  <c r="DV77" i="19"/>
  <c r="DU64" i="19"/>
  <c r="DU77" i="19" s="1"/>
  <c r="DX76" i="19"/>
  <c r="DW76" i="19"/>
  <c r="DV76" i="19"/>
  <c r="DU63" i="19"/>
  <c r="DU76" i="19" s="1"/>
  <c r="DX75" i="19"/>
  <c r="DW75" i="19"/>
  <c r="DV75" i="19"/>
  <c r="DU62" i="19"/>
  <c r="DU75" i="19" s="1"/>
  <c r="DU56" i="19"/>
  <c r="DV56" i="19" s="1"/>
  <c r="DS52" i="19"/>
  <c r="DR78" i="19"/>
  <c r="DQ78" i="19"/>
  <c r="DP78" i="19"/>
  <c r="DO78" i="19"/>
  <c r="DR77" i="19"/>
  <c r="DQ77" i="19"/>
  <c r="DP77" i="19"/>
  <c r="DO64" i="19"/>
  <c r="DO77" i="19" s="1"/>
  <c r="DR76" i="19"/>
  <c r="DQ76" i="19"/>
  <c r="DP76" i="19"/>
  <c r="DO63" i="19"/>
  <c r="DO76" i="19" s="1"/>
  <c r="DR75" i="19"/>
  <c r="DQ75" i="19"/>
  <c r="DP75" i="19"/>
  <c r="DM52" i="19"/>
  <c r="DF78" i="19"/>
  <c r="DE78" i="19"/>
  <c r="DD78" i="19"/>
  <c r="DC78" i="19"/>
  <c r="DF77" i="19"/>
  <c r="DE77" i="19"/>
  <c r="DD77" i="19"/>
  <c r="DC64" i="19"/>
  <c r="DC77" i="19" s="1"/>
  <c r="DF76" i="19"/>
  <c r="DE76" i="19"/>
  <c r="DD76" i="19"/>
  <c r="DC63" i="19"/>
  <c r="DC76" i="19" s="1"/>
  <c r="DF75" i="19"/>
  <c r="DE75" i="19"/>
  <c r="DD75" i="19"/>
  <c r="DC62" i="19"/>
  <c r="DC75" i="19" s="1"/>
  <c r="DC56" i="19"/>
  <c r="DA52" i="19"/>
  <c r="CT78" i="19"/>
  <c r="CS78" i="19"/>
  <c r="CR78" i="19"/>
  <c r="CQ78" i="19"/>
  <c r="CT77" i="19"/>
  <c r="CS77" i="19"/>
  <c r="CR77" i="19"/>
  <c r="CQ64" i="19"/>
  <c r="CQ77" i="19" s="1"/>
  <c r="CT76" i="19"/>
  <c r="CS76" i="19"/>
  <c r="CR76" i="19"/>
  <c r="CQ63" i="19"/>
  <c r="CQ76" i="19" s="1"/>
  <c r="CT75" i="19"/>
  <c r="CS75" i="19"/>
  <c r="CR75" i="19"/>
  <c r="CQ62" i="19"/>
  <c r="CQ75" i="19" s="1"/>
  <c r="CQ56" i="19"/>
  <c r="CR56" i="19" s="1"/>
  <c r="CO52" i="19"/>
  <c r="CN78" i="19"/>
  <c r="CM78" i="19"/>
  <c r="CL78" i="19"/>
  <c r="CK78" i="19"/>
  <c r="CN77" i="19"/>
  <c r="CM77" i="19"/>
  <c r="CL77" i="19"/>
  <c r="CK64" i="19"/>
  <c r="CK77" i="19" s="1"/>
  <c r="CN76" i="19"/>
  <c r="CM76" i="19"/>
  <c r="CL76" i="19"/>
  <c r="CK63" i="19"/>
  <c r="CK76" i="19" s="1"/>
  <c r="CN75" i="19"/>
  <c r="CM75" i="19"/>
  <c r="CL75" i="19"/>
  <c r="CK62" i="19"/>
  <c r="CK75" i="19" s="1"/>
  <c r="CK56" i="19"/>
  <c r="CL56" i="19" s="1"/>
  <c r="CH78" i="19"/>
  <c r="CG78" i="19"/>
  <c r="CF78" i="19"/>
  <c r="CE78" i="19"/>
  <c r="CH77" i="19"/>
  <c r="CG77" i="19"/>
  <c r="CF77" i="19"/>
  <c r="CE64" i="19"/>
  <c r="CE77" i="19" s="1"/>
  <c r="CH76" i="19"/>
  <c r="CG76" i="19"/>
  <c r="CF76" i="19"/>
  <c r="CE63" i="19"/>
  <c r="CE76" i="19" s="1"/>
  <c r="CH75" i="19"/>
  <c r="CG75" i="19"/>
  <c r="CF75" i="19"/>
  <c r="CE62" i="19"/>
  <c r="CE75" i="19" s="1"/>
  <c r="CE56" i="19"/>
  <c r="CG56" i="19" s="1"/>
  <c r="CC52" i="19"/>
  <c r="AI3" i="20"/>
  <c r="AI31" i="20" s="1" a="1"/>
  <c r="AJ3" i="20"/>
  <c r="AJ31" i="20" s="1" a="1"/>
  <c r="AK3" i="20"/>
  <c r="AK11" i="20" s="1" a="1"/>
  <c r="AL3" i="20"/>
  <c r="AL22" i="20" s="1" a="1"/>
  <c r="AM3" i="20"/>
  <c r="AM38" i="20" s="1" a="1"/>
  <c r="AG3" i="20"/>
  <c r="AG31" i="20" s="1" a="1"/>
  <c r="W3" i="20"/>
  <c r="W20" i="20" s="1" a="1"/>
  <c r="X3" i="20"/>
  <c r="X31" i="20" s="1" a="1"/>
  <c r="Y3" i="20"/>
  <c r="Y37" i="20" s="1" a="1"/>
  <c r="Z3" i="20"/>
  <c r="Z40" i="20" s="1" a="1"/>
  <c r="AA3" i="20"/>
  <c r="AA23" i="20" s="1" a="1"/>
  <c r="Q3" i="20"/>
  <c r="Q37" i="20" s="1" a="1"/>
  <c r="R3" i="20"/>
  <c r="R11" i="20" s="1" a="1"/>
  <c r="S3" i="20"/>
  <c r="S31" i="20" s="1" a="1"/>
  <c r="T3" i="20"/>
  <c r="T31" i="20" s="1" a="1"/>
  <c r="U3" i="20"/>
  <c r="U9" i="20" s="1" a="1"/>
  <c r="K3" i="20"/>
  <c r="K30" i="20" s="1" a="1"/>
  <c r="L3" i="20"/>
  <c r="L14" i="20" s="1" a="1"/>
  <c r="M3" i="20"/>
  <c r="M26" i="20" s="1" a="1"/>
  <c r="N3" i="20"/>
  <c r="N31" i="20" s="1" a="1"/>
  <c r="O3" i="20"/>
  <c r="O30" i="20" s="1" a="1"/>
  <c r="J6" i="21" a="1"/>
  <c r="C27" i="20"/>
  <c r="C33" i="20"/>
  <c r="BB60" i="19"/>
  <c r="BA60" i="19"/>
  <c r="AV60" i="19"/>
  <c r="AU60" i="19"/>
  <c r="AU56" i="19"/>
  <c r="F73" i="19"/>
  <c r="F74" i="19"/>
  <c r="F61" i="19"/>
  <c r="F60" i="19"/>
  <c r="D10" i="15" a="1"/>
  <c r="K62" i="19"/>
  <c r="K75" i="19" s="1"/>
  <c r="K63" i="19"/>
  <c r="K76" i="19" s="1"/>
  <c r="K64" i="19"/>
  <c r="K77" i="19" s="1"/>
  <c r="E18" i="15" a="1"/>
  <c r="F15" i="15" a="1"/>
  <c r="J18" i="21" s="1"/>
  <c r="F16" i="15" a="1"/>
  <c r="F17" i="15" a="1"/>
  <c r="F18" i="15" a="1"/>
  <c r="L56" i="19"/>
  <c r="G15" i="15" a="1"/>
  <c r="K18" i="21" s="1"/>
  <c r="G16" i="15" a="1"/>
  <c r="G17" i="15" a="1"/>
  <c r="G18" i="15" a="1"/>
  <c r="M56" i="19"/>
  <c r="H15" i="15" a="1"/>
  <c r="L18" i="21" s="1"/>
  <c r="H16" i="15" a="1"/>
  <c r="H17" i="15" a="1"/>
  <c r="H18" i="15" a="1"/>
  <c r="N56" i="19"/>
  <c r="H10" i="15" a="1"/>
  <c r="I18" i="15" a="1"/>
  <c r="J15" i="15" a="1"/>
  <c r="J16" i="15" a="1"/>
  <c r="J17" i="15" a="1"/>
  <c r="J18" i="15" a="1"/>
  <c r="K15" i="15" a="1"/>
  <c r="K16" i="15" a="1"/>
  <c r="K17" i="15" a="1"/>
  <c r="K18" i="15" a="1"/>
  <c r="L15" i="15" a="1"/>
  <c r="L16" i="15" a="1"/>
  <c r="L17" i="15" a="1"/>
  <c r="L18" i="15" a="1"/>
  <c r="L10" i="15" a="1"/>
  <c r="L11" i="15" s="1"/>
  <c r="M10" i="15" a="1"/>
  <c r="M9" i="15" s="1"/>
  <c r="K78" i="19"/>
  <c r="L75" i="19"/>
  <c r="L76" i="19"/>
  <c r="L77" i="19"/>
  <c r="L78" i="19"/>
  <c r="L69" i="19"/>
  <c r="M75" i="19"/>
  <c r="M76" i="19"/>
  <c r="M77" i="19"/>
  <c r="M78" i="19"/>
  <c r="M69" i="19"/>
  <c r="N75" i="19"/>
  <c r="N76" i="19"/>
  <c r="N77" i="19"/>
  <c r="N78" i="19"/>
  <c r="N69" i="19"/>
  <c r="Q10" i="15" a="1"/>
  <c r="U10" i="15" a="1"/>
  <c r="U11" i="15" s="1"/>
  <c r="BY56" i="19"/>
  <c r="R56" i="19"/>
  <c r="S56" i="19"/>
  <c r="T56" i="19"/>
  <c r="R58" i="19"/>
  <c r="S58" i="19"/>
  <c r="R59" i="19"/>
  <c r="S59" i="19"/>
  <c r="L58" i="19"/>
  <c r="M58" i="19"/>
  <c r="L59" i="19"/>
  <c r="M59" i="19"/>
  <c r="X72" i="19"/>
  <c r="X71" i="19"/>
  <c r="X70" i="19"/>
  <c r="X69" i="19"/>
  <c r="X58" i="19"/>
  <c r="F12" i="15" s="1" a="1"/>
  <c r="X59" i="19"/>
  <c r="X57" i="19"/>
  <c r="X56" i="19"/>
  <c r="AD67" i="19"/>
  <c r="AE67" i="19"/>
  <c r="AF67" i="19"/>
  <c r="AC69" i="19"/>
  <c r="AE55" i="19"/>
  <c r="AC56" i="19"/>
  <c r="I10" i="15" s="1" a="1"/>
  <c r="I11" i="15" s="1"/>
  <c r="AV69" i="19"/>
  <c r="AU69" i="19"/>
  <c r="BB69" i="19"/>
  <c r="BA69" i="19"/>
  <c r="BH72" i="19"/>
  <c r="BH71" i="19"/>
  <c r="BH70" i="19"/>
  <c r="BH69" i="19"/>
  <c r="BH59" i="19"/>
  <c r="BH58" i="19"/>
  <c r="BH57" i="19"/>
  <c r="S72" i="19"/>
  <c r="R72" i="19"/>
  <c r="S71" i="19"/>
  <c r="R71" i="19"/>
  <c r="T69" i="19"/>
  <c r="M72" i="19"/>
  <c r="L72" i="19"/>
  <c r="M71" i="19"/>
  <c r="L71" i="19"/>
  <c r="BY62" i="19"/>
  <c r="BY75" i="19" s="1"/>
  <c r="BS62" i="19"/>
  <c r="BS75" i="19" s="1"/>
  <c r="BM62" i="19"/>
  <c r="BM75" i="19" s="1"/>
  <c r="BG62" i="19"/>
  <c r="BG75" i="19" s="1"/>
  <c r="BA62" i="19"/>
  <c r="BA75" i="19" s="1"/>
  <c r="AU62" i="19"/>
  <c r="AU75" i="19" s="1"/>
  <c r="AC62" i="19"/>
  <c r="AC75" i="19" s="1"/>
  <c r="W62" i="19"/>
  <c r="W75" i="19" s="1"/>
  <c r="Q62" i="19"/>
  <c r="Q75" i="19" s="1"/>
  <c r="E67" i="19"/>
  <c r="F67" i="19"/>
  <c r="G67" i="19"/>
  <c r="E69" i="19"/>
  <c r="E62" i="19"/>
  <c r="E75" i="19" s="1"/>
  <c r="N9" i="17"/>
  <c r="BU27" i="19"/>
  <c r="BS27" i="19"/>
  <c r="BR27" i="19"/>
  <c r="I85" i="21"/>
  <c r="J85" i="21" s="1"/>
  <c r="H86" i="21"/>
  <c r="I86" i="21"/>
  <c r="I88" i="21"/>
  <c r="K88" i="21" s="1"/>
  <c r="H73" i="21"/>
  <c r="H72" i="21"/>
  <c r="H71" i="21"/>
  <c r="J50" i="21"/>
  <c r="G56" i="21"/>
  <c r="F59" i="21" s="1"/>
  <c r="G59" i="21" s="1"/>
  <c r="K59" i="21" s="1"/>
  <c r="G48" i="21"/>
  <c r="F51" i="21" s="1"/>
  <c r="G51" i="21" s="1"/>
  <c r="J56" i="21"/>
  <c r="K34" i="21"/>
  <c r="K33" i="21"/>
  <c r="K32" i="21"/>
  <c r="J33" i="21"/>
  <c r="J34" i="21"/>
  <c r="J32" i="21"/>
  <c r="BM28" i="19"/>
  <c r="BL28" i="19"/>
  <c r="BH56" i="19"/>
  <c r="BF26" i="19"/>
  <c r="BG26" i="19"/>
  <c r="S13" i="21"/>
  <c r="T13" i="21"/>
  <c r="S11" i="21"/>
  <c r="T11" i="21"/>
  <c r="S8" i="21"/>
  <c r="T8" i="21" s="1"/>
  <c r="S10" i="21"/>
  <c r="T10" i="21"/>
  <c r="S12" i="21"/>
  <c r="T12" i="21"/>
  <c r="S5" i="21"/>
  <c r="T5" i="21"/>
  <c r="S6" i="21"/>
  <c r="T6" i="21" s="1"/>
  <c r="S7" i="21"/>
  <c r="T7" i="21"/>
  <c r="S4" i="21"/>
  <c r="T4" i="21"/>
  <c r="EC24" i="16"/>
  <c r="EA24" i="16"/>
  <c r="DZ24" i="16"/>
  <c r="DY24" i="16"/>
  <c r="DQ3" i="16"/>
  <c r="DO3" i="16"/>
  <c r="DN3" i="16"/>
  <c r="DM3" i="16"/>
  <c r="DQ24" i="16"/>
  <c r="DO24" i="16"/>
  <c r="DN24" i="16"/>
  <c r="DM24" i="16"/>
  <c r="FM20" i="16"/>
  <c r="FK20" i="16"/>
  <c r="FJ20" i="16"/>
  <c r="FI20" i="16"/>
  <c r="FL20" i="16"/>
  <c r="FG6" i="16"/>
  <c r="FE6" i="16"/>
  <c r="FD6" i="16"/>
  <c r="EX3" i="16"/>
  <c r="EY3" i="16"/>
  <c r="EZ3" i="16"/>
  <c r="FA3" i="16"/>
  <c r="FB3" i="16"/>
  <c r="EW3" i="16"/>
  <c r="BB56" i="19"/>
  <c r="BA56" i="19"/>
  <c r="BD78" i="19"/>
  <c r="BC78" i="19"/>
  <c r="BB78" i="19"/>
  <c r="BA78" i="19"/>
  <c r="BD77" i="19"/>
  <c r="BC77" i="19"/>
  <c r="BB77" i="19"/>
  <c r="BD76" i="19"/>
  <c r="BC76" i="19"/>
  <c r="BB76" i="19"/>
  <c r="BD75" i="19"/>
  <c r="BC75" i="19"/>
  <c r="BB75" i="19"/>
  <c r="BA64" i="19"/>
  <c r="BA77" i="19" s="1"/>
  <c r="BA63" i="19"/>
  <c r="BA76" i="19" s="1"/>
  <c r="AY52" i="19"/>
  <c r="BA6" i="19"/>
  <c r="AZ6" i="19"/>
  <c r="AV56" i="19"/>
  <c r="CB78" i="19"/>
  <c r="CA78" i="19"/>
  <c r="BZ78" i="19"/>
  <c r="BY78" i="19"/>
  <c r="CB77" i="19"/>
  <c r="CA77" i="19"/>
  <c r="BZ77" i="19"/>
  <c r="CB76" i="19"/>
  <c r="CA76" i="19"/>
  <c r="BZ76" i="19"/>
  <c r="CB75" i="19"/>
  <c r="CA75" i="19"/>
  <c r="BZ75" i="19"/>
  <c r="BY64" i="19"/>
  <c r="BY77" i="19" s="1"/>
  <c r="BY63" i="19"/>
  <c r="BY76" i="19" s="1"/>
  <c r="BW52" i="19"/>
  <c r="BV78" i="19"/>
  <c r="BU78" i="19"/>
  <c r="BT78" i="19"/>
  <c r="BS78" i="19"/>
  <c r="BV77" i="19"/>
  <c r="BU77" i="19"/>
  <c r="BT77" i="19"/>
  <c r="BV76" i="19"/>
  <c r="BU76" i="19"/>
  <c r="BT76" i="19"/>
  <c r="BV75" i="19"/>
  <c r="BU75" i="19"/>
  <c r="BT75" i="19"/>
  <c r="BS64" i="19"/>
  <c r="BS77" i="19" s="1"/>
  <c r="BS63" i="19"/>
  <c r="BS76" i="19" s="1"/>
  <c r="BQ52" i="19"/>
  <c r="BP78" i="19"/>
  <c r="BO78" i="19"/>
  <c r="BN78" i="19"/>
  <c r="BM78" i="19"/>
  <c r="BP77" i="19"/>
  <c r="BO77" i="19"/>
  <c r="BN77" i="19"/>
  <c r="BP76" i="19"/>
  <c r="BO76" i="19"/>
  <c r="BN76" i="19"/>
  <c r="BP75" i="19"/>
  <c r="BO75" i="19"/>
  <c r="BN75" i="19"/>
  <c r="BM77" i="19"/>
  <c r="BM63" i="19"/>
  <c r="BM76" i="19" s="1"/>
  <c r="BK52" i="19"/>
  <c r="BJ78" i="19"/>
  <c r="BI78" i="19"/>
  <c r="BH78" i="19"/>
  <c r="BG78" i="19"/>
  <c r="BJ77" i="19"/>
  <c r="BI77" i="19"/>
  <c r="BH77" i="19"/>
  <c r="BJ76" i="19"/>
  <c r="BI76" i="19"/>
  <c r="BH76" i="19"/>
  <c r="BJ75" i="19"/>
  <c r="BI75" i="19"/>
  <c r="BH75" i="19"/>
  <c r="BG64" i="19"/>
  <c r="BG77" i="19" s="1"/>
  <c r="BG63" i="19"/>
  <c r="BG76" i="19" s="1"/>
  <c r="BE52" i="19"/>
  <c r="AU6" i="19"/>
  <c r="AT6" i="19"/>
  <c r="AU64" i="19"/>
  <c r="AU77" i="19" s="1"/>
  <c r="AU63" i="19"/>
  <c r="AU76" i="19" s="1"/>
  <c r="AC64" i="19"/>
  <c r="AC77" i="19" s="1"/>
  <c r="AC63" i="19"/>
  <c r="AC76" i="19" s="1"/>
  <c r="W64" i="19"/>
  <c r="W77" i="19" s="1"/>
  <c r="W63" i="19"/>
  <c r="W76" i="19" s="1"/>
  <c r="Q64" i="19"/>
  <c r="Q77" i="19" s="1"/>
  <c r="E64" i="19"/>
  <c r="E77" i="19" s="1"/>
  <c r="E63" i="19"/>
  <c r="E76" i="19" s="1"/>
  <c r="AX78" i="19"/>
  <c r="AW78" i="19"/>
  <c r="AV78" i="19"/>
  <c r="AU78" i="19"/>
  <c r="AX77" i="19"/>
  <c r="AW77" i="19"/>
  <c r="AV77" i="19"/>
  <c r="AX76" i="19"/>
  <c r="AW76" i="19"/>
  <c r="AV76" i="19"/>
  <c r="AX75" i="19"/>
  <c r="AW75" i="19"/>
  <c r="AV75" i="19"/>
  <c r="H78" i="19"/>
  <c r="G78" i="19"/>
  <c r="F78" i="19"/>
  <c r="E78" i="19"/>
  <c r="H77" i="19"/>
  <c r="G77" i="19"/>
  <c r="F77" i="19"/>
  <c r="H76" i="19"/>
  <c r="G76" i="19"/>
  <c r="F76" i="19"/>
  <c r="H75" i="19"/>
  <c r="G75" i="19"/>
  <c r="F75" i="19"/>
  <c r="T78" i="19"/>
  <c r="S78" i="19"/>
  <c r="R78" i="19"/>
  <c r="Q78" i="19"/>
  <c r="T77" i="19"/>
  <c r="S77" i="19"/>
  <c r="R77" i="19"/>
  <c r="T76" i="19"/>
  <c r="S76" i="19"/>
  <c r="R76" i="19"/>
  <c r="T75" i="19"/>
  <c r="S75" i="19"/>
  <c r="R75" i="19"/>
  <c r="AF78" i="19"/>
  <c r="AE78" i="19"/>
  <c r="AD78" i="19"/>
  <c r="AC78" i="19"/>
  <c r="AF77" i="19"/>
  <c r="AE77" i="19"/>
  <c r="AD77" i="19"/>
  <c r="AF76" i="19"/>
  <c r="AE76" i="19"/>
  <c r="AD76" i="19"/>
  <c r="AF75" i="19"/>
  <c r="AE75" i="19"/>
  <c r="AD75" i="19"/>
  <c r="E56" i="19"/>
  <c r="F56" i="19" s="1"/>
  <c r="V55" i="19"/>
  <c r="B3" i="15"/>
  <c r="X76" i="19"/>
  <c r="Y76" i="19"/>
  <c r="Z76" i="19"/>
  <c r="X77" i="19"/>
  <c r="Y77" i="19"/>
  <c r="Z77" i="19"/>
  <c r="W78" i="19"/>
  <c r="X78" i="19"/>
  <c r="Y78" i="19"/>
  <c r="Z78" i="19"/>
  <c r="X75" i="19"/>
  <c r="Y75" i="19"/>
  <c r="Z75" i="19"/>
  <c r="V31" i="19"/>
  <c r="W31" i="19"/>
  <c r="X31" i="19"/>
  <c r="Y31" i="19"/>
  <c r="Z31" i="19"/>
  <c r="U31" i="19"/>
  <c r="N27" i="19"/>
  <c r="M27" i="19"/>
  <c r="K27" i="19"/>
  <c r="J27" i="19"/>
  <c r="D2" i="22" a="1"/>
  <c r="A2" i="22" a="1"/>
  <c r="Q63" i="19"/>
  <c r="Q76" i="19" s="1"/>
  <c r="AW26" i="16"/>
  <c r="CR4" i="16"/>
  <c r="CO4" i="16"/>
  <c r="CP4" i="16"/>
  <c r="CQ4" i="16"/>
  <c r="CT4" i="16"/>
  <c r="CS4" i="16"/>
  <c r="O52" i="19"/>
  <c r="AS52" i="19"/>
  <c r="AA52" i="19"/>
  <c r="U52" i="19"/>
  <c r="I52" i="19"/>
  <c r="C52" i="19"/>
  <c r="H6" i="21" a="1"/>
  <c r="I6" i="21" a="1"/>
  <c r="G6" i="21" a="1"/>
  <c r="C21" i="20"/>
  <c r="C29" i="20"/>
  <c r="C40" i="20"/>
  <c r="E13" i="19"/>
  <c r="D13" i="19"/>
  <c r="H8" i="16"/>
  <c r="G8" i="16"/>
  <c r="E8" i="16"/>
  <c r="D8" i="16"/>
  <c r="E15" i="17"/>
  <c r="D4" i="17"/>
  <c r="E16" i="17"/>
  <c r="D5" i="17"/>
  <c r="E17" i="17"/>
  <c r="C10" i="17"/>
  <c r="C12" i="17"/>
  <c r="D11" i="17"/>
  <c r="D10" i="17"/>
  <c r="E9" i="17"/>
  <c r="E5" i="17"/>
  <c r="D9" i="17"/>
  <c r="C5" i="17"/>
  <c r="E8" i="17"/>
  <c r="D7" i="17"/>
  <c r="D12" i="17"/>
  <c r="E11" i="17"/>
  <c r="C9" i="17"/>
  <c r="C7" i="17"/>
  <c r="C11" i="17"/>
  <c r="D8" i="17"/>
  <c r="E7" i="17"/>
  <c r="E10" i="17"/>
  <c r="C8" i="17"/>
  <c r="C4" i="17"/>
  <c r="E4" i="17"/>
  <c r="E12" i="17"/>
  <c r="K85" i="21"/>
  <c r="R69" i="19"/>
  <c r="S69" i="19"/>
  <c r="I82" i="21"/>
  <c r="I83" i="21"/>
  <c r="J83" i="21" s="1"/>
  <c r="M15" i="15" a="1"/>
  <c r="M18" i="21" s="1"/>
  <c r="D15" i="15" a="1"/>
  <c r="H18" i="21" s="1"/>
  <c r="D16" i="15" a="1"/>
  <c r="D17" i="15" a="1"/>
  <c r="D18" i="15" a="1"/>
  <c r="M16" i="15" a="1"/>
  <c r="M17" i="15" a="1"/>
  <c r="M18" i="15" a="1"/>
  <c r="Q12" i="15" a="1"/>
  <c r="O12" i="15" a="1"/>
  <c r="H12" i="15" a="1"/>
  <c r="T12" i="15" a="1"/>
  <c r="L12" i="15" a="1"/>
  <c r="U12" i="15" a="1"/>
  <c r="R12" i="15" a="1"/>
  <c r="S12" i="15" a="1"/>
  <c r="E12" i="15" a="1"/>
  <c r="C12" i="15" a="1"/>
  <c r="M12" i="15" a="1"/>
  <c r="N12" i="15" a="1"/>
  <c r="D12" i="15" a="1"/>
  <c r="G12" i="15" a="1"/>
  <c r="J12" i="15" a="1"/>
  <c r="K12" i="15" a="1"/>
  <c r="I12" i="15" a="1"/>
  <c r="P12" i="15" a="1"/>
  <c r="C4" i="15" a="1"/>
  <c r="G13" i="21" s="1"/>
  <c r="L4" i="15" a="1"/>
  <c r="K4" i="15" a="1"/>
  <c r="J4" i="15" a="1"/>
  <c r="I4" i="15" a="1"/>
  <c r="H4" i="15" a="1"/>
  <c r="L13" i="21" s="1"/>
  <c r="G4" i="15" a="1"/>
  <c r="K13" i="21" s="1"/>
  <c r="F4" i="15" a="1"/>
  <c r="J13" i="21" s="1"/>
  <c r="E4" i="15" a="1"/>
  <c r="I13" i="21" s="1"/>
  <c r="D4" i="15" a="1"/>
  <c r="H13" i="21" s="1"/>
  <c r="M4" i="15" a="1"/>
  <c r="M13" i="21" s="1"/>
  <c r="N4" i="15" a="1"/>
  <c r="O4" i="15" a="1"/>
  <c r="P4" i="15" a="1"/>
  <c r="Q4" i="15" a="1"/>
  <c r="R4" i="15" a="1"/>
  <c r="S4" i="15" a="1"/>
  <c r="T4" i="15" a="1"/>
  <c r="U4" i="15" a="1"/>
  <c r="C14" i="15" a="1"/>
  <c r="U14" i="15" a="1"/>
  <c r="T14" i="15" a="1"/>
  <c r="S14" i="15" a="1"/>
  <c r="R14" i="15" a="1"/>
  <c r="Q14" i="15" a="1"/>
  <c r="P14" i="15" a="1"/>
  <c r="O14" i="15" a="1"/>
  <c r="N14" i="15" a="1"/>
  <c r="M14" i="15" a="1"/>
  <c r="L14" i="15" a="1"/>
  <c r="K14" i="15" a="1"/>
  <c r="J14" i="15" a="1"/>
  <c r="I14" i="15" a="1"/>
  <c r="H14" i="15" a="1"/>
  <c r="G14" i="15" a="1"/>
  <c r="F14" i="15" a="1"/>
  <c r="E14" i="15" a="1"/>
  <c r="D14" i="15" a="1"/>
  <c r="CL69" i="19"/>
  <c r="R15" i="15" a="1"/>
  <c r="J88" i="21"/>
  <c r="J86" i="21"/>
  <c r="K86" i="21"/>
  <c r="K83" i="21"/>
  <c r="I81" i="21"/>
  <c r="F61" i="21"/>
  <c r="G61" i="21" s="1"/>
  <c r="F58" i="21"/>
  <c r="G58" i="21" s="1"/>
  <c r="F62" i="21"/>
  <c r="G62" i="21" s="1"/>
  <c r="I80" i="21"/>
  <c r="J81" i="21"/>
  <c r="K81" i="21"/>
  <c r="K80" i="21"/>
  <c r="J80" i="21"/>
  <c r="HT56" i="19"/>
  <c r="I15" i="15" a="1"/>
  <c r="E15" i="15" a="1"/>
  <c r="I18" i="21" s="1"/>
  <c r="J82" i="21" l="1"/>
  <c r="K82" i="21"/>
  <c r="F7" i="21"/>
  <c r="N17" i="15" a="1"/>
  <c r="U18" i="15" a="1"/>
  <c r="P18" i="15" a="1"/>
  <c r="O18" i="15" a="1"/>
  <c r="P16" i="15" a="1"/>
  <c r="Q15" i="15" a="1"/>
  <c r="AG34" i="20" a="1"/>
  <c r="CM56" i="19"/>
  <c r="T18" i="15" a="1"/>
  <c r="E17" i="15" a="1"/>
  <c r="CF56" i="19"/>
  <c r="G69" i="19"/>
  <c r="F69" i="19"/>
  <c r="O17" i="15" a="1"/>
  <c r="I17" i="15" a="1"/>
  <c r="E10" i="15" a="1"/>
  <c r="E11" i="15" s="1"/>
  <c r="S18" i="15" a="1"/>
  <c r="H35" i="20" a="1"/>
  <c r="N15" i="15" a="1"/>
  <c r="HT69" i="19"/>
  <c r="S17" i="15" a="1"/>
  <c r="R10" i="15" a="1"/>
  <c r="R11" i="15" s="1"/>
  <c r="N18" i="15" a="1"/>
  <c r="S16" i="15" a="1"/>
  <c r="E16" i="15" a="1"/>
  <c r="T15" i="15" a="1"/>
  <c r="I16" i="15" a="1"/>
  <c r="N10" i="15" a="1"/>
  <c r="N11" i="15" s="1"/>
  <c r="H11" i="20" a="1"/>
  <c r="H41" i="20" a="1"/>
  <c r="H33" i="20" a="1"/>
  <c r="AA11" i="20" a="1"/>
  <c r="AA8" i="20" a="1"/>
  <c r="AA26" i="20" a="1"/>
  <c r="AA12" i="20" a="1"/>
  <c r="AA39" i="20" a="1"/>
  <c r="AA30" i="20" a="1"/>
  <c r="AA13" i="20" a="1"/>
  <c r="AA17" i="20" a="1"/>
  <c r="AA41" i="20" a="1"/>
  <c r="AA14" i="20" a="1"/>
  <c r="AA9" i="20" a="1"/>
  <c r="G10" i="20" a="1"/>
  <c r="G12" i="20" a="1"/>
  <c r="G35" i="20" a="1"/>
  <c r="G27" i="20" a="1"/>
  <c r="G32" i="20" a="1"/>
  <c r="G14" i="20" a="1"/>
  <c r="G28" i="20" a="1"/>
  <c r="G24" i="20" a="1"/>
  <c r="Y13" i="20" a="1"/>
  <c r="H20" i="20" a="1"/>
  <c r="H13" i="20" a="1"/>
  <c r="O13" i="20" a="1"/>
  <c r="O12" i="20" a="1"/>
  <c r="O17" i="20" a="1"/>
  <c r="AG13" i="20" a="1"/>
  <c r="AG25" i="20" a="1"/>
  <c r="O37" i="20" a="1"/>
  <c r="O16" i="20" a="1"/>
  <c r="AG41" i="20" a="1"/>
  <c r="AG39" i="20" a="1"/>
  <c r="O38" i="20" a="1"/>
  <c r="O29" i="20" a="1"/>
  <c r="AG24" i="20" a="1"/>
  <c r="AG15" i="20" a="1"/>
  <c r="AG37" i="20" a="1"/>
  <c r="AM36" i="20" a="1"/>
  <c r="O32" i="20" a="1"/>
  <c r="O28" i="20" a="1"/>
  <c r="AG35" i="20" a="1"/>
  <c r="AG23" i="20" a="1"/>
  <c r="O11" i="20" a="1"/>
  <c r="O36" i="20" a="1"/>
  <c r="AG38" i="20" a="1"/>
  <c r="AG18" i="20" a="1"/>
  <c r="AG30" i="20" a="1"/>
  <c r="AG28" i="20" a="1"/>
  <c r="O9" i="20" a="1"/>
  <c r="AG36" i="20" a="1"/>
  <c r="AG14" i="20" a="1"/>
  <c r="O18" i="20" a="1"/>
  <c r="AG27" i="20" a="1"/>
  <c r="AG16" i="20" a="1"/>
  <c r="O31" i="20" a="1"/>
  <c r="O25" i="20" a="1"/>
  <c r="O33" i="20" a="1"/>
  <c r="O22" i="20" a="1"/>
  <c r="O19" i="20" a="1"/>
  <c r="O14" i="20" a="1"/>
  <c r="O24" i="20" a="1"/>
  <c r="O41" i="20" a="1"/>
  <c r="O21" i="20" a="1"/>
  <c r="O20" i="20" a="1"/>
  <c r="O10" i="20" a="1"/>
  <c r="O35" i="20" a="1"/>
  <c r="O23" i="20" a="1"/>
  <c r="U8" i="20" a="1"/>
  <c r="U40" i="20" a="1"/>
  <c r="U27" i="20" a="1"/>
  <c r="U11" i="20" a="1"/>
  <c r="U15" i="20" a="1"/>
  <c r="O26" i="20" a="1"/>
  <c r="O40" i="20" a="1"/>
  <c r="O27" i="20" a="1"/>
  <c r="AG32" i="20" a="1"/>
  <c r="AG12" i="20" a="1"/>
  <c r="AG22" i="20" a="1"/>
  <c r="AG20" i="20" a="1"/>
  <c r="O39" i="20" a="1"/>
  <c r="O34" i="20" a="1"/>
  <c r="AG33" i="20" a="1"/>
  <c r="AG9" i="20" a="1"/>
  <c r="AG7" i="20" a="1"/>
  <c r="AG11" i="20" a="1"/>
  <c r="O8" i="20" a="1"/>
  <c r="O15" i="20" a="1"/>
  <c r="O7" i="20" a="1"/>
  <c r="AG26" i="20" a="1"/>
  <c r="AG10" i="20" a="1"/>
  <c r="AG21" i="20" a="1"/>
  <c r="AG40" i="20" a="1"/>
  <c r="U21" i="20" a="1"/>
  <c r="AG17" i="20" a="1"/>
  <c r="AG19" i="20" a="1"/>
  <c r="AG29" i="20" a="1"/>
  <c r="AG8" i="20" a="1"/>
  <c r="K58" i="21"/>
  <c r="G73" i="21"/>
  <c r="K51" i="21"/>
  <c r="G72" i="21"/>
  <c r="F50" i="21"/>
  <c r="G50" i="21" s="1"/>
  <c r="U39" i="20" a="1"/>
  <c r="U37" i="20" a="1"/>
  <c r="U35" i="20" a="1"/>
  <c r="U22" i="20" a="1"/>
  <c r="U17" i="20" a="1"/>
  <c r="U41" i="20" a="1"/>
  <c r="U28" i="20" a="1"/>
  <c r="U29" i="20" a="1"/>
  <c r="U36" i="20" a="1"/>
  <c r="U10" i="20" a="1"/>
  <c r="U18" i="20" a="1"/>
  <c r="U19" i="20" a="1"/>
  <c r="U25" i="20" a="1"/>
  <c r="U7" i="20" a="1"/>
  <c r="U24" i="20" a="1"/>
  <c r="U13" i="20" a="1"/>
  <c r="AM23" i="20" a="1"/>
  <c r="H19" i="20" a="1"/>
  <c r="H8" i="20" a="1"/>
  <c r="Z15" i="20" a="1"/>
  <c r="U15" i="15" a="1"/>
  <c r="U16" i="15" a="1"/>
  <c r="Q17" i="15" a="1"/>
  <c r="Q18" i="15" a="1"/>
  <c r="T16" i="15" a="1"/>
  <c r="P15" i="15" a="1"/>
  <c r="R17" i="15" a="1"/>
  <c r="T17" i="15" a="1"/>
  <c r="R16" i="15" a="1"/>
  <c r="Q16" i="15" a="1"/>
  <c r="G38" i="20" a="1"/>
  <c r="G41" i="20" a="1"/>
  <c r="G20" i="20" a="1"/>
  <c r="G37" i="20" a="1"/>
  <c r="G16" i="20" a="1"/>
  <c r="G33" i="20" a="1"/>
  <c r="G40" i="20" a="1"/>
  <c r="G17" i="20" a="1"/>
  <c r="G29" i="20" a="1"/>
  <c r="M33" i="20" a="1"/>
  <c r="M8" i="20" a="1"/>
  <c r="M36" i="20" a="1"/>
  <c r="M10" i="20" a="1"/>
  <c r="M25" i="20" a="1"/>
  <c r="M38" i="20" a="1"/>
  <c r="M41" i="20" a="1"/>
  <c r="M14" i="20" a="1"/>
  <c r="M12" i="20" a="1"/>
  <c r="M35" i="20" a="1"/>
  <c r="M32" i="20" a="1"/>
  <c r="M21" i="20" a="1"/>
  <c r="M19" i="20" a="1"/>
  <c r="M31" i="20" a="1"/>
  <c r="M20" i="20" a="1"/>
  <c r="M15" i="20" a="1"/>
  <c r="M24" i="20" a="1"/>
  <c r="M37" i="20" a="1"/>
  <c r="M18" i="20" a="1"/>
  <c r="M30" i="20" a="1"/>
  <c r="M9" i="20" a="1"/>
  <c r="M13" i="20" a="1"/>
  <c r="M28" i="20" a="1"/>
  <c r="M7" i="20" a="1"/>
  <c r="M29" i="20" a="1"/>
  <c r="M40" i="20" a="1"/>
  <c r="M27" i="20" a="1"/>
  <c r="M16" i="20" a="1"/>
  <c r="M23" i="20" a="1"/>
  <c r="M22" i="20" a="1"/>
  <c r="M17" i="20" a="1"/>
  <c r="M11" i="20" a="1"/>
  <c r="M39" i="20" a="1"/>
  <c r="M34" i="20" a="1"/>
  <c r="L18" i="20" a="1"/>
  <c r="L28" i="20" a="1"/>
  <c r="L20" i="20" a="1"/>
  <c r="L38" i="20" a="1"/>
  <c r="L19" i="20" a="1"/>
  <c r="L26" i="20" a="1"/>
  <c r="L35" i="20" a="1"/>
  <c r="L22" i="20" a="1"/>
  <c r="L9" i="20" a="1"/>
  <c r="H39" i="20" a="1"/>
  <c r="H23" i="20" a="1"/>
  <c r="H26" i="20" a="1"/>
  <c r="H22" i="20" a="1"/>
  <c r="H10" i="20" a="1"/>
  <c r="H18" i="20" a="1"/>
  <c r="H25" i="20" a="1"/>
  <c r="H9" i="20" a="1"/>
  <c r="H40" i="20" a="1"/>
  <c r="H30" i="20" a="1"/>
  <c r="H34" i="20" a="1"/>
  <c r="H24" i="20" a="1"/>
  <c r="H17" i="20" a="1"/>
  <c r="H32" i="20" a="1"/>
  <c r="H16" i="20" a="1"/>
  <c r="H12" i="20" a="1"/>
  <c r="H28" i="20" a="1"/>
  <c r="H38" i="20" a="1"/>
  <c r="H21" i="20" a="1"/>
  <c r="H37" i="20" a="1"/>
  <c r="H36" i="20" a="1"/>
  <c r="H29" i="20" a="1"/>
  <c r="H15" i="20" a="1"/>
  <c r="H31" i="20" a="1"/>
  <c r="H14" i="20" a="1"/>
  <c r="H27" i="20" a="1"/>
  <c r="N16" i="15" a="1"/>
  <c r="JP56" i="19"/>
  <c r="U17" i="15" a="1"/>
  <c r="O15" i="15" a="1"/>
  <c r="G56" i="19"/>
  <c r="O16" i="15" a="1"/>
  <c r="JP69" i="19"/>
  <c r="CG69" i="19"/>
  <c r="G19" i="20" a="1"/>
  <c r="G25" i="20" a="1"/>
  <c r="G39" i="20" a="1"/>
  <c r="G26" i="20" a="1"/>
  <c r="G31" i="20" a="1"/>
  <c r="G13" i="20" a="1"/>
  <c r="G7" i="20" a="1"/>
  <c r="G36" i="20" a="1"/>
  <c r="G22" i="20" a="1"/>
  <c r="G18" i="20" a="1"/>
  <c r="G21" i="20" a="1"/>
  <c r="G34" i="20" a="1"/>
  <c r="G15" i="20" a="1"/>
  <c r="G30" i="20" a="1"/>
  <c r="G9" i="20" a="1"/>
  <c r="G11" i="20" a="1"/>
  <c r="G23" i="20" a="1"/>
  <c r="R26" i="20" a="1"/>
  <c r="R25" i="20" a="1"/>
  <c r="L23" i="20" a="1"/>
  <c r="R14" i="20" a="1"/>
  <c r="R30" i="20" a="1"/>
  <c r="AA37" i="20" a="1"/>
  <c r="AA20" i="20" a="1"/>
  <c r="AA38" i="20" a="1"/>
  <c r="AA27" i="20" a="1"/>
  <c r="AA16" i="20" a="1"/>
  <c r="AA40" i="20" a="1"/>
  <c r="AA34" i="20" a="1"/>
  <c r="AA15" i="20" a="1"/>
  <c r="AA35" i="20" a="1"/>
  <c r="AA10" i="20" a="1"/>
  <c r="AA32" i="20" a="1"/>
  <c r="AA25" i="20" a="1"/>
  <c r="AA33" i="20" a="1"/>
  <c r="AA28" i="20" a="1"/>
  <c r="AA36" i="20" a="1"/>
  <c r="AA24" i="20" a="1"/>
  <c r="AA7" i="20" a="1"/>
  <c r="AA18" i="20" a="1"/>
  <c r="AA19" i="20" a="1"/>
  <c r="AA21" i="20" a="1"/>
  <c r="AA29" i="20" a="1"/>
  <c r="AA22" i="20" a="1"/>
  <c r="AA31" i="20" a="1"/>
  <c r="AM18" i="20" a="1"/>
  <c r="AM28" i="20" a="1"/>
  <c r="AM15" i="20" a="1"/>
  <c r="AM35" i="20" a="1"/>
  <c r="AM34" i="20" a="1"/>
  <c r="AM37" i="20" a="1"/>
  <c r="AM7" i="20" a="1"/>
  <c r="AM24" i="20" a="1"/>
  <c r="AM21" i="20" a="1"/>
  <c r="AM13" i="20" a="1"/>
  <c r="AM17" i="20" a="1"/>
  <c r="AM20" i="20" a="1"/>
  <c r="AM19" i="20" a="1"/>
  <c r="AM9" i="20" a="1"/>
  <c r="AM39" i="20" a="1"/>
  <c r="AM11" i="20" a="1"/>
  <c r="AM33" i="20" a="1"/>
  <c r="AM27" i="20" a="1"/>
  <c r="AM25" i="20" a="1"/>
  <c r="AM40" i="20" a="1"/>
  <c r="AM30" i="20" a="1"/>
  <c r="AM31" i="20" a="1"/>
  <c r="AM22" i="20" a="1"/>
  <c r="AM14" i="20" a="1"/>
  <c r="AM41" i="20" a="1"/>
  <c r="AM32" i="20" a="1"/>
  <c r="AM10" i="20" a="1"/>
  <c r="AM16" i="20" a="1"/>
  <c r="AM26" i="20" a="1"/>
  <c r="AM29" i="20" a="1"/>
  <c r="AM12" i="20" a="1"/>
  <c r="AM8" i="20" a="1"/>
  <c r="I40" i="20" a="1"/>
  <c r="I15" i="20" a="1"/>
  <c r="I31" i="20" a="1"/>
  <c r="I33" i="20" a="1"/>
  <c r="I13" i="20" a="1"/>
  <c r="I11" i="20" a="1"/>
  <c r="I7" i="20" a="1"/>
  <c r="I32" i="20" a="1"/>
  <c r="I9" i="20" a="1"/>
  <c r="I29" i="20" a="1"/>
  <c r="I30" i="20" a="1"/>
  <c r="I17" i="20" a="1"/>
  <c r="I23" i="20" a="1"/>
  <c r="I39" i="20" a="1"/>
  <c r="I41" i="20" a="1"/>
  <c r="J7" i="21"/>
  <c r="AA4" i="20" s="1" a="1"/>
  <c r="J8" i="21"/>
  <c r="I5" i="20" s="1" a="1"/>
  <c r="J9" i="21"/>
  <c r="I6" i="20" s="1" a="1"/>
  <c r="I38" i="20" a="1"/>
  <c r="I24" i="20" a="1"/>
  <c r="I37" i="20" a="1"/>
  <c r="I26" i="20" a="1"/>
  <c r="I25" i="20" a="1"/>
  <c r="I12" i="20" a="1"/>
  <c r="I18" i="20" a="1"/>
  <c r="I19" i="20" a="1"/>
  <c r="I14" i="20" a="1"/>
  <c r="I34" i="20" a="1"/>
  <c r="I27" i="20" a="1"/>
  <c r="I8" i="20" a="1"/>
  <c r="I28" i="20" a="1"/>
  <c r="I35" i="20" a="1"/>
  <c r="I16" i="20" a="1"/>
  <c r="I36" i="20" a="1"/>
  <c r="I21" i="20" a="1"/>
  <c r="I20" i="20" a="1"/>
  <c r="I22" i="20" a="1"/>
  <c r="R20" i="20" a="1"/>
  <c r="R35" i="20" a="1"/>
  <c r="R36" i="20" a="1"/>
  <c r="R10" i="20" a="1"/>
  <c r="R37" i="20" a="1"/>
  <c r="R19" i="20" a="1"/>
  <c r="R33" i="20" a="1"/>
  <c r="AL11" i="20" a="1"/>
  <c r="AD31" i="20" a="1"/>
  <c r="AD38" i="20" a="1"/>
  <c r="Y18" i="20" a="1"/>
  <c r="AK10" i="20" a="1"/>
  <c r="Y38" i="20" a="1"/>
  <c r="Y11" i="20" a="1"/>
  <c r="Y34" i="20" a="1"/>
  <c r="Y33" i="20" a="1"/>
  <c r="Y12" i="20" a="1"/>
  <c r="AK13" i="20" a="1"/>
  <c r="S11" i="20" a="1"/>
  <c r="Y27" i="20" a="1"/>
  <c r="AL7" i="20" a="1"/>
  <c r="T10" i="20" a="1"/>
  <c r="AD7" i="20" a="1"/>
  <c r="AD19" i="20" a="1"/>
  <c r="AD10" i="20" a="1"/>
  <c r="AD37" i="20" a="1"/>
  <c r="AD30" i="20" a="1"/>
  <c r="AD17" i="20" a="1"/>
  <c r="AD34" i="20" a="1"/>
  <c r="AD14" i="20" a="1"/>
  <c r="AD24" i="20" a="1"/>
  <c r="AD13" i="20" a="1"/>
  <c r="AD35" i="20" a="1"/>
  <c r="AD16" i="20" a="1"/>
  <c r="AD23" i="20" a="1"/>
  <c r="AD20" i="20" a="1"/>
  <c r="AD22" i="20" a="1"/>
  <c r="AD39" i="20" a="1"/>
  <c r="AD33" i="20" a="1"/>
  <c r="AF25" i="20" a="1"/>
  <c r="AF21" i="20" a="1"/>
  <c r="AF17" i="20" a="1"/>
  <c r="AK37" i="20" a="1"/>
  <c r="AK31" i="20" a="1"/>
  <c r="S20" i="20" a="1"/>
  <c r="AK38" i="20" a="1"/>
  <c r="S16" i="20" a="1"/>
  <c r="S29" i="20" a="1"/>
  <c r="S28" i="20" a="1"/>
  <c r="X23" i="20" a="1"/>
  <c r="X18" i="20" a="1"/>
  <c r="X30" i="20" a="1"/>
  <c r="X38" i="20" a="1"/>
  <c r="X16" i="20" a="1"/>
  <c r="S34" i="20" a="1"/>
  <c r="AK32" i="20" a="1"/>
  <c r="AK18" i="20" a="1"/>
  <c r="S27" i="20" a="1"/>
  <c r="S40" i="20" a="1"/>
  <c r="S10" i="20" a="1"/>
  <c r="S15" i="20" a="1"/>
  <c r="S14" i="20" a="1"/>
  <c r="S12" i="20" a="1"/>
  <c r="S9" i="20" a="1"/>
  <c r="S26" i="20" a="1"/>
  <c r="S30" i="20" a="1"/>
  <c r="S41" i="20" a="1"/>
  <c r="AK26" i="20" a="1"/>
  <c r="AK30" i="20" a="1"/>
  <c r="AK7" i="20" a="1"/>
  <c r="AK40" i="20" a="1"/>
  <c r="AK9" i="20" a="1"/>
  <c r="S38" i="20" a="1"/>
  <c r="S33" i="20" a="1"/>
  <c r="S8" i="20" a="1"/>
  <c r="S18" i="20" a="1"/>
  <c r="AK21" i="20" a="1"/>
  <c r="S36" i="20" a="1"/>
  <c r="AK20" i="20" a="1"/>
  <c r="AK14" i="20" a="1"/>
  <c r="AK17" i="20" a="1"/>
  <c r="S21" i="20" a="1"/>
  <c r="AK24" i="20" a="1"/>
  <c r="AK23" i="20" a="1"/>
  <c r="AK35" i="20" a="1"/>
  <c r="S25" i="20" a="1"/>
  <c r="S32" i="20" a="1"/>
  <c r="S23" i="20" a="1"/>
  <c r="S19" i="20" a="1"/>
  <c r="S37" i="20" a="1"/>
  <c r="AK36" i="20" a="1"/>
  <c r="AK25" i="20" a="1"/>
  <c r="AK33" i="20" a="1"/>
  <c r="AK34" i="20" a="1"/>
  <c r="AK29" i="20" a="1"/>
  <c r="AK12" i="20" a="1"/>
  <c r="AK19" i="20" a="1"/>
  <c r="AK28" i="20" a="1"/>
  <c r="S24" i="20" a="1"/>
  <c r="S35" i="20" a="1"/>
  <c r="S7" i="20" a="1"/>
  <c r="AK27" i="20" a="1"/>
  <c r="AK16" i="20" a="1"/>
  <c r="AK41" i="20" a="1"/>
  <c r="AK8" i="20" a="1"/>
  <c r="AK39" i="20" a="1"/>
  <c r="AK22" i="20" a="1"/>
  <c r="S17" i="20" a="1"/>
  <c r="S13" i="20" a="1"/>
  <c r="S39" i="20" a="1"/>
  <c r="S22" i="20" a="1"/>
  <c r="AK15" i="20" a="1"/>
  <c r="X20" i="20" a="1"/>
  <c r="X13" i="20" a="1"/>
  <c r="X25" i="20" a="1"/>
  <c r="X24" i="20" a="1"/>
  <c r="X7" i="20" a="1"/>
  <c r="X39" i="20" a="1"/>
  <c r="X22" i="20" a="1"/>
  <c r="X26" i="20" a="1"/>
  <c r="X35" i="20" a="1"/>
  <c r="X9" i="20" a="1"/>
  <c r="X29" i="20" a="1"/>
  <c r="X14" i="20" a="1"/>
  <c r="X10" i="20" a="1"/>
  <c r="X19" i="20" a="1"/>
  <c r="X40" i="20" a="1"/>
  <c r="X21" i="20" a="1"/>
  <c r="X41" i="20" a="1"/>
  <c r="X27" i="20" a="1"/>
  <c r="X11" i="20" a="1"/>
  <c r="X15" i="20" a="1"/>
  <c r="X36" i="20" a="1"/>
  <c r="X17" i="20" a="1"/>
  <c r="F9" i="20" a="1"/>
  <c r="X8" i="20" a="1"/>
  <c r="X12" i="20" a="1"/>
  <c r="X34" i="20" a="1"/>
  <c r="X28" i="20" a="1"/>
  <c r="X32" i="20" a="1"/>
  <c r="X37" i="20" a="1"/>
  <c r="X33" i="20" a="1"/>
  <c r="AF26" i="20" a="1"/>
  <c r="AF36" i="20" a="1"/>
  <c r="AF24" i="20" a="1"/>
  <c r="AF41" i="20" a="1"/>
  <c r="AF23" i="20" a="1"/>
  <c r="AE8" i="20" a="1"/>
  <c r="AE23" i="20" a="1"/>
  <c r="AE37" i="20" a="1"/>
  <c r="AE13" i="20" a="1"/>
  <c r="AE10" i="20" a="1"/>
  <c r="AJ36" i="20" a="1"/>
  <c r="R28" i="20" a="1"/>
  <c r="R39" i="20" a="1"/>
  <c r="R22" i="20" a="1"/>
  <c r="R40" i="20" a="1"/>
  <c r="R34" i="20" a="1"/>
  <c r="AJ22" i="20" a="1"/>
  <c r="R41" i="20" a="1"/>
  <c r="R13" i="20" a="1"/>
  <c r="R21" i="20" a="1"/>
  <c r="AJ39" i="20" a="1"/>
  <c r="R8" i="20" a="1"/>
  <c r="R24" i="20" a="1"/>
  <c r="R23" i="20" a="1"/>
  <c r="AJ10" i="20" a="1"/>
  <c r="R16" i="20" a="1"/>
  <c r="R31" i="20" a="1"/>
  <c r="R17" i="20" a="1"/>
  <c r="R32" i="20" a="1"/>
  <c r="AJ38" i="20" a="1"/>
  <c r="AJ14" i="20" a="1"/>
  <c r="AJ33" i="20" a="1"/>
  <c r="R29" i="20" a="1"/>
  <c r="R15" i="20" a="1"/>
  <c r="R18" i="20" a="1"/>
  <c r="R27" i="20" a="1"/>
  <c r="R38" i="20" a="1"/>
  <c r="AJ41" i="20" a="1"/>
  <c r="R12" i="20" a="1"/>
  <c r="R7" i="20" a="1"/>
  <c r="R9" i="20" a="1"/>
  <c r="G7" i="21"/>
  <c r="L4" i="20" s="1" a="1"/>
  <c r="G8" i="21"/>
  <c r="L5" i="20" s="1" a="1"/>
  <c r="G9" i="21"/>
  <c r="F6" i="20" s="1" a="1"/>
  <c r="AD15" i="20" a="1"/>
  <c r="AD29" i="20" a="1"/>
  <c r="AD40" i="20" a="1"/>
  <c r="AD36" i="20" a="1"/>
  <c r="L36" i="20" a="1"/>
  <c r="L17" i="20" a="1"/>
  <c r="L31" i="20" a="1"/>
  <c r="L13" i="20" a="1"/>
  <c r="L21" i="20" a="1"/>
  <c r="L27" i="20" a="1"/>
  <c r="L32" i="20" a="1"/>
  <c r="L41" i="20" a="1"/>
  <c r="F27" i="20" a="1"/>
  <c r="AD12" i="20" a="1"/>
  <c r="AD41" i="20" a="1"/>
  <c r="AD18" i="20" a="1"/>
  <c r="AD27" i="20" a="1"/>
  <c r="F23" i="20" a="1"/>
  <c r="L8" i="20" a="1"/>
  <c r="L30" i="20" a="1"/>
  <c r="L34" i="20" a="1"/>
  <c r="L7" i="20" a="1"/>
  <c r="AD26" i="20" a="1"/>
  <c r="AD25" i="20" a="1"/>
  <c r="AD28" i="20" a="1"/>
  <c r="AD21" i="20" a="1"/>
  <c r="L15" i="20" a="1"/>
  <c r="L25" i="20" a="1"/>
  <c r="L29" i="20" a="1"/>
  <c r="F36" i="20" a="1"/>
  <c r="L24" i="20" a="1"/>
  <c r="L11" i="20" a="1"/>
  <c r="L12" i="20" a="1"/>
  <c r="L39" i="20" a="1"/>
  <c r="L40" i="20" a="1"/>
  <c r="L10" i="20" a="1"/>
  <c r="AD8" i="20" a="1"/>
  <c r="AD9" i="20" a="1"/>
  <c r="AD11" i="20" a="1"/>
  <c r="L37" i="20" a="1"/>
  <c r="L33" i="20" a="1"/>
  <c r="L16" i="20" a="1"/>
  <c r="F26" i="20" a="1"/>
  <c r="Q21" i="20" a="1"/>
  <c r="Q10" i="20" a="1"/>
  <c r="E36" i="20" a="1"/>
  <c r="E17" i="20" a="1"/>
  <c r="E13" i="20" a="1"/>
  <c r="E30" i="20" a="1"/>
  <c r="E15" i="20" a="1"/>
  <c r="E10" i="20" a="1"/>
  <c r="I8" i="21"/>
  <c r="AF5" i="20" s="1" a="1"/>
  <c r="I7" i="21"/>
  <c r="H4" i="20" s="1" a="1"/>
  <c r="Z36" i="20" a="1"/>
  <c r="Z7" i="20" a="1"/>
  <c r="Z20" i="20" a="1"/>
  <c r="I9" i="21"/>
  <c r="H6" i="20" s="1" a="1"/>
  <c r="Z12" i="20" a="1"/>
  <c r="Z18" i="20" a="1"/>
  <c r="Z35" i="20" a="1"/>
  <c r="Z33" i="20" a="1"/>
  <c r="Z38" i="20" a="1"/>
  <c r="Z14" i="20" a="1"/>
  <c r="Z22" i="20" a="1"/>
  <c r="Z41" i="20" a="1"/>
  <c r="Z27" i="20" a="1"/>
  <c r="Z24" i="20" a="1"/>
  <c r="Z26" i="20" a="1"/>
  <c r="Z29" i="20" a="1"/>
  <c r="Z10" i="20" a="1"/>
  <c r="Z31" i="20" a="1"/>
  <c r="Z23" i="20" a="1"/>
  <c r="Z37" i="20" a="1"/>
  <c r="Z13" i="20" a="1"/>
  <c r="Z17" i="20" a="1"/>
  <c r="Z30" i="20" a="1"/>
  <c r="Z8" i="20" a="1"/>
  <c r="Z25" i="20" a="1"/>
  <c r="Z11" i="20" a="1"/>
  <c r="Z16" i="20" a="1"/>
  <c r="Z32" i="20" a="1"/>
  <c r="Y36" i="20" a="1"/>
  <c r="Y35" i="20" a="1"/>
  <c r="Y16" i="20" a="1"/>
  <c r="Y30" i="20" a="1"/>
  <c r="Y8" i="20" a="1"/>
  <c r="Y23" i="20" a="1"/>
  <c r="Y40" i="20" a="1"/>
  <c r="Y29" i="20" a="1"/>
  <c r="Y9" i="20" a="1"/>
  <c r="Y20" i="20" a="1"/>
  <c r="Y22" i="20" a="1"/>
  <c r="Y31" i="20" a="1"/>
  <c r="Y25" i="20" a="1"/>
  <c r="Y19" i="20" a="1"/>
  <c r="Y17" i="20" a="1"/>
  <c r="Y32" i="20" a="1"/>
  <c r="Y24" i="20" a="1"/>
  <c r="Y15" i="20" a="1"/>
  <c r="Y21" i="20" a="1"/>
  <c r="Y10" i="20" a="1"/>
  <c r="Y14" i="20" a="1"/>
  <c r="Y41" i="20" a="1"/>
  <c r="Y7" i="20" a="1"/>
  <c r="Y39" i="20" a="1"/>
  <c r="Y28" i="20" a="1"/>
  <c r="Y26" i="20" a="1"/>
  <c r="E25" i="20" a="1"/>
  <c r="E21" i="20" a="1"/>
  <c r="E41" i="20" a="1"/>
  <c r="E33" i="20" a="1"/>
  <c r="E18" i="20" a="1"/>
  <c r="E40" i="20" a="1"/>
  <c r="E22" i="20" a="1"/>
  <c r="E20" i="20" a="1"/>
  <c r="E19" i="20" a="1"/>
  <c r="E37" i="20" a="1"/>
  <c r="E29" i="20" a="1"/>
  <c r="E24" i="20" a="1"/>
  <c r="E32" i="20" a="1"/>
  <c r="E35" i="20" a="1"/>
  <c r="E14" i="20" a="1"/>
  <c r="E23" i="20" a="1"/>
  <c r="E38" i="20" a="1"/>
  <c r="K11" i="20" a="1"/>
  <c r="E28" i="20" a="1"/>
  <c r="E11" i="20" a="1"/>
  <c r="K33" i="20" a="1"/>
  <c r="K29" i="20" a="1"/>
  <c r="E9" i="20" a="1"/>
  <c r="E16" i="20" a="1"/>
  <c r="E12" i="20" a="1"/>
  <c r="K18" i="20" a="1"/>
  <c r="E8" i="20" a="1"/>
  <c r="E39" i="20" a="1"/>
  <c r="E34" i="20" a="1"/>
  <c r="E26" i="20" a="1"/>
  <c r="N12" i="20" a="1"/>
  <c r="N21" i="20" a="1"/>
  <c r="N16" i="20" a="1"/>
  <c r="N33" i="20" a="1"/>
  <c r="AL32" i="20" a="1"/>
  <c r="N13" i="20" a="1"/>
  <c r="T27" i="20" a="1"/>
  <c r="T9" i="20" a="1"/>
  <c r="T16" i="20" a="1"/>
  <c r="AF15" i="20" a="1"/>
  <c r="AF22" i="20" a="1"/>
  <c r="AF38" i="20" a="1"/>
  <c r="AF33" i="20" a="1"/>
  <c r="AL17" i="20" a="1"/>
  <c r="T39" i="20" a="1"/>
  <c r="AF18" i="20" a="1"/>
  <c r="AF16" i="20" a="1"/>
  <c r="AF29" i="20" a="1"/>
  <c r="AF30" i="20" a="1"/>
  <c r="N17" i="20" a="1"/>
  <c r="N7" i="20" a="1"/>
  <c r="N34" i="20" a="1"/>
  <c r="N36" i="20" a="1"/>
  <c r="N18" i="20" a="1"/>
  <c r="N19" i="20" a="1"/>
  <c r="N11" i="20" a="1"/>
  <c r="N37" i="20" a="1"/>
  <c r="AL31" i="20" a="1"/>
  <c r="T33" i="20" a="1"/>
  <c r="T37" i="20" a="1"/>
  <c r="T23" i="20" a="1"/>
  <c r="T26" i="20" a="1"/>
  <c r="T40" i="20" a="1"/>
  <c r="T11" i="20" a="1"/>
  <c r="T30" i="20" a="1"/>
  <c r="T20" i="20" a="1"/>
  <c r="AF14" i="20" a="1"/>
  <c r="AF11" i="20" a="1"/>
  <c r="AF40" i="20" a="1"/>
  <c r="T13" i="20" a="1"/>
  <c r="AF27" i="20" a="1"/>
  <c r="AL29" i="20" a="1"/>
  <c r="T29" i="20" a="1"/>
  <c r="T28" i="20" a="1"/>
  <c r="N20" i="20" a="1"/>
  <c r="AF37" i="20" a="1"/>
  <c r="AF19" i="20" a="1"/>
  <c r="AF39" i="20" a="1"/>
  <c r="AF12" i="20" a="1"/>
  <c r="AF7" i="20" a="1"/>
  <c r="AF9" i="20" a="1"/>
  <c r="N38" i="20" a="1"/>
  <c r="N9" i="20" a="1"/>
  <c r="N8" i="20" a="1"/>
  <c r="N22" i="20" a="1"/>
  <c r="N23" i="20" a="1"/>
  <c r="N14" i="20" a="1"/>
  <c r="N25" i="20" a="1"/>
  <c r="N27" i="20" a="1"/>
  <c r="N28" i="20" a="1"/>
  <c r="T34" i="20" a="1"/>
  <c r="T17" i="20" a="1"/>
  <c r="T7" i="20" a="1"/>
  <c r="T32" i="20" a="1"/>
  <c r="T25" i="20" a="1"/>
  <c r="T14" i="20" a="1"/>
  <c r="T21" i="20" a="1"/>
  <c r="N41" i="20" a="1"/>
  <c r="AF13" i="20" a="1"/>
  <c r="AF8" i="20" a="1"/>
  <c r="AF35" i="20" a="1"/>
  <c r="T8" i="20" a="1"/>
  <c r="T22" i="20" a="1"/>
  <c r="T12" i="20" a="1"/>
  <c r="T24" i="20" a="1"/>
  <c r="T38" i="20" a="1"/>
  <c r="N35" i="20" a="1"/>
  <c r="AF20" i="20" a="1"/>
  <c r="AF32" i="20" a="1"/>
  <c r="AF28" i="20" a="1"/>
  <c r="N32" i="20" a="1"/>
  <c r="N15" i="20" a="1"/>
  <c r="N26" i="20" a="1"/>
  <c r="N29" i="20" a="1"/>
  <c r="N10" i="20" a="1"/>
  <c r="N40" i="20" a="1"/>
  <c r="N30" i="20" a="1"/>
  <c r="N39" i="20" a="1"/>
  <c r="N24" i="20" a="1"/>
  <c r="T41" i="20" a="1"/>
  <c r="T36" i="20" a="1"/>
  <c r="T35" i="20" a="1"/>
  <c r="T18" i="20" a="1"/>
  <c r="T19" i="20" a="1"/>
  <c r="T15" i="20" a="1"/>
  <c r="H8" i="21"/>
  <c r="H7" i="21"/>
  <c r="AE4" i="20" s="1" a="1"/>
  <c r="H9" i="21"/>
  <c r="AE6" i="20" s="1" a="1"/>
  <c r="AE14" i="20" a="1"/>
  <c r="AE30" i="20" a="1"/>
  <c r="AE12" i="20" a="1"/>
  <c r="AE17" i="20" a="1"/>
  <c r="AE22" i="20" a="1"/>
  <c r="AE26" i="20" a="1"/>
  <c r="AE35" i="20" a="1"/>
  <c r="AE27" i="20" a="1"/>
  <c r="AE15" i="20" a="1"/>
  <c r="AE28" i="20" a="1"/>
  <c r="AE32" i="20" a="1"/>
  <c r="AE16" i="20" a="1"/>
  <c r="AE31" i="20" a="1"/>
  <c r="AE38" i="20" a="1"/>
  <c r="AE18" i="20" a="1"/>
  <c r="AE21" i="20" a="1"/>
  <c r="AE25" i="20" a="1"/>
  <c r="AE40" i="20" a="1"/>
  <c r="AE39" i="20" a="1"/>
  <c r="AE34" i="20" a="1"/>
  <c r="AE24" i="20" a="1"/>
  <c r="AE36" i="20" a="1"/>
  <c r="AE29" i="20" a="1"/>
  <c r="AE11" i="20" a="1"/>
  <c r="AE20" i="20" a="1"/>
  <c r="AE33" i="20" a="1"/>
  <c r="AE9" i="20" a="1"/>
  <c r="AE7" i="20" a="1"/>
  <c r="AE41" i="20" a="1"/>
  <c r="F14" i="20" a="1"/>
  <c r="F28" i="20" a="1"/>
  <c r="F10" i="20" a="1"/>
  <c r="AJ8" i="20" a="1"/>
  <c r="AJ21" i="20" a="1"/>
  <c r="AJ12" i="20" a="1"/>
  <c r="AJ17" i="20" a="1"/>
  <c r="AJ19" i="20" a="1"/>
  <c r="AJ30" i="20" a="1"/>
  <c r="AJ40" i="20" a="1"/>
  <c r="F21" i="20" a="1"/>
  <c r="AJ27" i="20" a="1"/>
  <c r="F41" i="20" a="1"/>
  <c r="F22" i="20" a="1"/>
  <c r="AJ23" i="20" a="1"/>
  <c r="F18" i="20" a="1"/>
  <c r="F37" i="20" a="1"/>
  <c r="F35" i="20" a="1"/>
  <c r="AJ7" i="20" a="1"/>
  <c r="F31" i="20" a="1"/>
  <c r="AJ15" i="20" a="1"/>
  <c r="AJ29" i="20" a="1"/>
  <c r="AJ20" i="20" a="1"/>
  <c r="AJ28" i="20" a="1"/>
  <c r="AJ16" i="20" a="1"/>
  <c r="AJ25" i="20" a="1"/>
  <c r="AJ35" i="20" a="1"/>
  <c r="AJ24" i="20" a="1"/>
  <c r="F38" i="20" a="1"/>
  <c r="F32" i="20" a="1"/>
  <c r="F34" i="20" a="1"/>
  <c r="F24" i="20" a="1"/>
  <c r="F33" i="20" a="1"/>
  <c r="AJ13" i="20" a="1"/>
  <c r="F15" i="20" a="1"/>
  <c r="F16" i="20" a="1"/>
  <c r="F39" i="20" a="1"/>
  <c r="AJ34" i="20" a="1"/>
  <c r="AJ32" i="20" a="1"/>
  <c r="F20" i="20" a="1"/>
  <c r="AJ26" i="20" a="1"/>
  <c r="AJ11" i="20" a="1"/>
  <c r="AJ9" i="20" a="1"/>
  <c r="AJ37" i="20" a="1"/>
  <c r="AJ18" i="20" a="1"/>
  <c r="F17" i="20" a="1"/>
  <c r="F25" i="20" a="1"/>
  <c r="F19" i="20" a="1"/>
  <c r="F13" i="20" a="1"/>
  <c r="F12" i="20" a="1"/>
  <c r="F11" i="20" a="1"/>
  <c r="F29" i="20" a="1"/>
  <c r="F40" i="20" a="1"/>
  <c r="F30" i="20" a="1"/>
  <c r="Z19" i="20" a="1"/>
  <c r="Z21" i="20" a="1"/>
  <c r="AL19" i="20" a="1"/>
  <c r="AL28" i="20" a="1"/>
  <c r="AL39" i="20" a="1"/>
  <c r="AL20" i="20" a="1"/>
  <c r="AL21" i="20" a="1"/>
  <c r="AL30" i="20" a="1"/>
  <c r="AL14" i="20" a="1"/>
  <c r="U31" i="20" a="1"/>
  <c r="U12" i="20" a="1"/>
  <c r="U26" i="20" a="1"/>
  <c r="U38" i="20" a="1"/>
  <c r="F8" i="20" a="1"/>
  <c r="Z28" i="20" a="1"/>
  <c r="Z34" i="20" a="1"/>
  <c r="AF34" i="20" a="1"/>
  <c r="AL26" i="20" a="1"/>
  <c r="AL38" i="20" a="1"/>
  <c r="AL15" i="20" a="1"/>
  <c r="AL16" i="20" a="1"/>
  <c r="AL9" i="20" a="1"/>
  <c r="AL25" i="20" a="1"/>
  <c r="AL8" i="20" a="1"/>
  <c r="AL36" i="20" a="1"/>
  <c r="U20" i="20" a="1"/>
  <c r="U16" i="20" a="1"/>
  <c r="U14" i="20" a="1"/>
  <c r="AL40" i="20" a="1"/>
  <c r="AL35" i="20" a="1"/>
  <c r="AL24" i="20" a="1"/>
  <c r="AL33" i="20" a="1"/>
  <c r="AL12" i="20" a="1"/>
  <c r="AL37" i="20" a="1"/>
  <c r="Z39" i="20" a="1"/>
  <c r="U30" i="20" a="1"/>
  <c r="U33" i="20" a="1"/>
  <c r="U34" i="20" a="1"/>
  <c r="U32" i="20" a="1"/>
  <c r="Z9" i="20" a="1"/>
  <c r="AF10" i="20" a="1"/>
  <c r="AL10" i="20" a="1"/>
  <c r="AL23" i="20" a="1"/>
  <c r="AL27" i="20" a="1"/>
  <c r="AL18" i="20" a="1"/>
  <c r="AL34" i="20" a="1"/>
  <c r="AL41" i="20" a="1"/>
  <c r="AL13" i="20" a="1"/>
  <c r="U23" i="20" a="1"/>
  <c r="W30" i="20" a="1"/>
  <c r="W21" i="20" a="1"/>
  <c r="AC23" i="20" a="1"/>
  <c r="AI15" i="20" a="1"/>
  <c r="AC35" i="20" a="1"/>
  <c r="AI21" i="20" a="1"/>
  <c r="AC30" i="20" a="1"/>
  <c r="W10" i="20" a="1"/>
  <c r="AC10" i="20" a="1"/>
  <c r="W16" i="20" a="1"/>
  <c r="W31" i="20" a="1"/>
  <c r="AI28" i="20" a="1"/>
  <c r="W18" i="20" a="1"/>
  <c r="W24" i="20" a="1"/>
  <c r="AC12" i="20" a="1"/>
  <c r="W41" i="20" a="1"/>
  <c r="AI36" i="20" a="1"/>
  <c r="W38" i="20" a="1"/>
  <c r="W25" i="20" a="1"/>
  <c r="AI30" i="20" a="1"/>
  <c r="W35" i="20" a="1"/>
  <c r="AI35" i="20" a="1"/>
  <c r="AC36" i="20" a="1"/>
  <c r="AC38" i="20" a="1"/>
  <c r="AC33" i="20" a="1"/>
  <c r="AC9" i="20" a="1"/>
  <c r="Q16" i="20" a="1"/>
  <c r="AC39" i="20" a="1"/>
  <c r="W19" i="20" a="1"/>
  <c r="W26" i="20" a="1"/>
  <c r="AI39" i="20" a="1"/>
  <c r="AC22" i="20" a="1"/>
  <c r="AC31" i="20" a="1"/>
  <c r="W11" i="20" a="1"/>
  <c r="AC25" i="20" a="1"/>
  <c r="W34" i="20" a="1"/>
  <c r="AI12" i="20" a="1"/>
  <c r="AI29" i="20" a="1"/>
  <c r="AI26" i="20" a="1"/>
  <c r="AI8" i="20" a="1"/>
  <c r="AI33" i="20" a="1"/>
  <c r="AC32" i="20" a="1"/>
  <c r="AC21" i="20" a="1"/>
  <c r="AC15" i="20" a="1"/>
  <c r="AC29" i="20" a="1"/>
  <c r="AI18" i="20" a="1"/>
  <c r="W40" i="20" a="1"/>
  <c r="W23" i="20" a="1"/>
  <c r="AI37" i="20" a="1"/>
  <c r="AI17" i="20" a="1"/>
  <c r="AC16" i="20" a="1"/>
  <c r="AC19" i="20" a="1"/>
  <c r="AI25" i="20" a="1"/>
  <c r="W17" i="20" a="1"/>
  <c r="AC26" i="20" a="1"/>
  <c r="W12" i="20" a="1"/>
  <c r="AI38" i="20" a="1"/>
  <c r="W8" i="20" a="1"/>
  <c r="AI10" i="20" a="1"/>
  <c r="AI22" i="20" a="1"/>
  <c r="AI9" i="20" a="1"/>
  <c r="W14" i="20" a="1"/>
  <c r="AI16" i="20" a="1"/>
  <c r="W29" i="20" a="1"/>
  <c r="AC14" i="20" a="1"/>
  <c r="AC41" i="20" a="1"/>
  <c r="AC20" i="20" a="1"/>
  <c r="AC37" i="20" a="1"/>
  <c r="Q41" i="20" a="1"/>
  <c r="AI23" i="20" a="1"/>
  <c r="AI14" i="20" a="1"/>
  <c r="AC34" i="20" a="1"/>
  <c r="AI41" i="20" a="1"/>
  <c r="W13" i="20" a="1"/>
  <c r="AC8" i="20" a="1"/>
  <c r="AI11" i="20" a="1"/>
  <c r="W36" i="20" a="1"/>
  <c r="AI20" i="20" a="1"/>
  <c r="AI13" i="20" a="1"/>
  <c r="AC11" i="20" a="1"/>
  <c r="AC18" i="20" a="1"/>
  <c r="W9" i="20" a="1"/>
  <c r="AI19" i="20" a="1"/>
  <c r="AI24" i="20" a="1"/>
  <c r="W32" i="20" a="1"/>
  <c r="W22" i="20" a="1"/>
  <c r="W37" i="20" a="1"/>
  <c r="W33" i="20" a="1"/>
  <c r="W15" i="20" a="1"/>
  <c r="W28" i="20" a="1"/>
  <c r="AI40" i="20" a="1"/>
  <c r="AI32" i="20" a="1"/>
  <c r="AI34" i="20" a="1"/>
  <c r="W39" i="20" a="1"/>
  <c r="AC24" i="20" a="1"/>
  <c r="AC13" i="20" a="1"/>
  <c r="AC17" i="20" a="1"/>
  <c r="AC28" i="20" a="1"/>
  <c r="W7" i="20" a="1"/>
  <c r="Q19" i="20" a="1"/>
  <c r="Q8" i="20" a="1"/>
  <c r="Q34" i="20" a="1"/>
  <c r="Q26" i="20" a="1"/>
  <c r="Q17" i="20" a="1"/>
  <c r="Q25" i="20" a="1"/>
  <c r="Q38" i="20" a="1"/>
  <c r="Q39" i="20" a="1"/>
  <c r="Q33" i="20" a="1"/>
  <c r="Q28" i="20" a="1"/>
  <c r="Q15" i="20" a="1"/>
  <c r="Q29" i="20" a="1"/>
  <c r="Q14" i="20" a="1"/>
  <c r="Q40" i="20" a="1"/>
  <c r="Q36" i="20" a="1"/>
  <c r="Q20" i="20" a="1"/>
  <c r="Q18" i="20" a="1"/>
  <c r="Q24" i="20" a="1"/>
  <c r="Q12" i="20" a="1"/>
  <c r="Q22" i="20" a="1"/>
  <c r="Q31" i="20" a="1"/>
  <c r="Q35" i="20" a="1"/>
  <c r="Q13" i="20" a="1"/>
  <c r="Q30" i="20" a="1"/>
  <c r="Q11" i="20" a="1"/>
  <c r="Q23" i="20" a="1"/>
  <c r="Q9" i="20" a="1"/>
  <c r="Q32" i="20" a="1"/>
  <c r="K10" i="20" a="1"/>
  <c r="K36" i="20" a="1"/>
  <c r="K28" i="20" a="1"/>
  <c r="K31" i="20" a="1"/>
  <c r="K34" i="20" a="1"/>
  <c r="K24" i="20" a="1"/>
  <c r="K22" i="20" a="1"/>
  <c r="K19" i="20" a="1"/>
  <c r="K13" i="20" a="1"/>
  <c r="K14" i="20" a="1"/>
  <c r="K12" i="20" a="1"/>
  <c r="K32" i="20" a="1"/>
  <c r="K9" i="20" a="1"/>
  <c r="K8" i="20" a="1"/>
  <c r="K40" i="20" a="1"/>
  <c r="K17" i="20" a="1"/>
  <c r="K21" i="20" a="1"/>
  <c r="K20" i="20" a="1"/>
  <c r="K38" i="20" a="1"/>
  <c r="K15" i="20" a="1"/>
  <c r="K41" i="20" a="1"/>
  <c r="K23" i="20" a="1"/>
  <c r="K25" i="20" a="1"/>
  <c r="K37" i="20" a="1"/>
  <c r="K26" i="20" a="1"/>
  <c r="K35" i="20" a="1"/>
  <c r="K39" i="20" a="1"/>
  <c r="K16" i="20" a="1"/>
  <c r="R18" i="15" a="1"/>
  <c r="P17" i="15" a="1"/>
  <c r="F8" i="21"/>
  <c r="C30" i="15" a="1"/>
  <c r="T30" i="15" a="1"/>
  <c r="C25" i="20"/>
  <c r="C31" i="20"/>
  <c r="D30" i="15" a="1"/>
  <c r="O30" i="15" a="1"/>
  <c r="R30" i="15" a="1"/>
  <c r="S30" i="15" a="1"/>
  <c r="M30" i="15" a="1"/>
  <c r="Q30" i="15" a="1"/>
  <c r="G30" i="15" a="1"/>
  <c r="N30" i="15" a="1"/>
  <c r="P30" i="15" a="1"/>
  <c r="L30" i="15" a="1"/>
  <c r="H30" i="15" a="1"/>
  <c r="E30" i="15" a="1"/>
  <c r="I30" i="15" a="1"/>
  <c r="J30" i="15" a="1"/>
  <c r="F30" i="15" a="1"/>
  <c r="K30" i="15" a="1"/>
  <c r="C36" i="20"/>
  <c r="F9" i="21"/>
  <c r="U30" i="15" a="1"/>
  <c r="L9" i="15"/>
  <c r="S15" i="15" a="1"/>
  <c r="H11" i="15"/>
  <c r="H9" i="15" s="1"/>
  <c r="C9" i="15"/>
  <c r="C11" i="15"/>
  <c r="Q11" i="15"/>
  <c r="M11" i="15"/>
  <c r="D11" i="15"/>
  <c r="D9" i="15"/>
  <c r="K50" i="21" l="1"/>
  <c r="G71" i="21"/>
  <c r="O6" i="20" a="1"/>
  <c r="Q9" i="15"/>
  <c r="N4" i="20" a="1"/>
  <c r="H5" i="20" a="1"/>
  <c r="U9" i="15"/>
  <c r="AG5" i="20" a="1"/>
  <c r="U5" i="20" a="1"/>
  <c r="AA5" i="20" a="1"/>
  <c r="U4" i="20" a="1"/>
  <c r="AM4" i="20" a="1"/>
  <c r="I4" i="20" a="1"/>
  <c r="AA6" i="20" a="1"/>
  <c r="U6" i="20" a="1"/>
  <c r="D26" i="20"/>
  <c r="C55" i="15" s="1"/>
  <c r="AG6" i="20" a="1"/>
  <c r="AM6" i="20" a="1"/>
  <c r="O5" i="20" a="1"/>
  <c r="AM5" i="20" a="1"/>
  <c r="AG4" i="20" a="1"/>
  <c r="O4" i="20" a="1"/>
  <c r="J9" i="20"/>
  <c r="E38" i="15" s="1"/>
  <c r="R6" i="20" a="1"/>
  <c r="V13" i="20"/>
  <c r="M42" i="15" s="1"/>
  <c r="L6" i="20" a="1"/>
  <c r="AD6" i="20" a="1"/>
  <c r="X6" i="20" a="1"/>
  <c r="AJ6" i="20" a="1"/>
  <c r="D23" i="20"/>
  <c r="C52" i="15" s="1"/>
  <c r="AH11" i="20"/>
  <c r="T40" i="15" s="1"/>
  <c r="AB37" i="20"/>
  <c r="O66" i="15" s="1"/>
  <c r="V15" i="20"/>
  <c r="M44" i="15" s="1"/>
  <c r="AB17" i="20"/>
  <c r="N46" i="15" s="1"/>
  <c r="V38" i="20"/>
  <c r="M67" i="15" s="1"/>
  <c r="P24" i="20"/>
  <c r="K53" i="15" s="1"/>
  <c r="J26" i="20"/>
  <c r="E55" i="15" s="1"/>
  <c r="P12" i="20"/>
  <c r="I41" i="15" s="1"/>
  <c r="V11" i="20"/>
  <c r="M40" i="15" s="1"/>
  <c r="D9" i="20"/>
  <c r="C38" i="15" s="1"/>
  <c r="J12" i="20"/>
  <c r="E41" i="15" s="1"/>
  <c r="J21" i="20"/>
  <c r="V23" i="20"/>
  <c r="M52" i="15" s="1"/>
  <c r="P34" i="20"/>
  <c r="J63" i="15" s="1"/>
  <c r="V10" i="20"/>
  <c r="M39" i="15" s="1"/>
  <c r="F5" i="20" a="1"/>
  <c r="J28" i="20"/>
  <c r="F57" i="15" s="1"/>
  <c r="P38" i="20"/>
  <c r="J67" i="15" s="1"/>
  <c r="J38" i="20"/>
  <c r="H67" i="15" s="1"/>
  <c r="AF4" i="20" a="1"/>
  <c r="AB13" i="20"/>
  <c r="O42" i="15" s="1"/>
  <c r="AB19" i="20"/>
  <c r="P48" i="15" s="1"/>
  <c r="V34" i="20"/>
  <c r="M63" i="15" s="1"/>
  <c r="T4" i="20" a="1"/>
  <c r="AL4" i="20" a="1"/>
  <c r="P37" i="20"/>
  <c r="K66" i="15" s="1"/>
  <c r="AH24" i="20"/>
  <c r="U53" i="15" s="1"/>
  <c r="V20" i="20"/>
  <c r="M49" i="15" s="1"/>
  <c r="AB24" i="20"/>
  <c r="O53" i="15" s="1"/>
  <c r="AH41" i="20"/>
  <c r="T70" i="15" s="1"/>
  <c r="AH34" i="20"/>
  <c r="T63" i="15" s="1"/>
  <c r="AJ5" i="20" a="1"/>
  <c r="D29" i="20"/>
  <c r="C58" i="15" s="1"/>
  <c r="P13" i="20"/>
  <c r="J42" i="15" s="1"/>
  <c r="AB26" i="20"/>
  <c r="P55" i="15" s="1"/>
  <c r="X5" i="20" a="1"/>
  <c r="J24" i="20"/>
  <c r="F53" i="15" s="1"/>
  <c r="AB18" i="20"/>
  <c r="O47" i="15" s="1"/>
  <c r="V22" i="20"/>
  <c r="M51" i="15" s="1"/>
  <c r="P10" i="20"/>
  <c r="L39" i="15" s="1"/>
  <c r="AH18" i="20"/>
  <c r="U47" i="15" s="1"/>
  <c r="J41" i="20"/>
  <c r="G70" i="15" s="1"/>
  <c r="V33" i="20"/>
  <c r="M62" i="15" s="1"/>
  <c r="AH30" i="20"/>
  <c r="S59" i="15" s="1"/>
  <c r="S22" i="15" s="1"/>
  <c r="D28" i="20"/>
  <c r="C57" i="15" s="1"/>
  <c r="P23" i="20"/>
  <c r="J52" i="15" s="1"/>
  <c r="AJ4" i="20" a="1"/>
  <c r="J30" i="20"/>
  <c r="G59" i="15" s="1"/>
  <c r="G22" i="15" s="1"/>
  <c r="D13" i="20"/>
  <c r="C42" i="15" s="1"/>
  <c r="AL6" i="20" a="1"/>
  <c r="V30" i="20"/>
  <c r="M59" i="15" s="1"/>
  <c r="M22" i="15" s="1"/>
  <c r="J23" i="20"/>
  <c r="D52" i="15" s="1"/>
  <c r="J8" i="20"/>
  <c r="H37" i="15" s="1"/>
  <c r="P32" i="20"/>
  <c r="J61" i="15" s="1"/>
  <c r="V35" i="20"/>
  <c r="M64" i="15" s="1"/>
  <c r="T5" i="20" a="1"/>
  <c r="P17" i="20"/>
  <c r="L46" i="15" s="1"/>
  <c r="V26" i="20"/>
  <c r="M55" i="15" s="1"/>
  <c r="N5" i="20" a="1"/>
  <c r="P26" i="20"/>
  <c r="K55" i="15" s="1"/>
  <c r="AH38" i="20"/>
  <c r="U67" i="15" s="1"/>
  <c r="AB16" i="20"/>
  <c r="P45" i="15" s="1"/>
  <c r="P21" i="20"/>
  <c r="K50" i="15" s="1"/>
  <c r="Z5" i="20" a="1"/>
  <c r="AL5" i="20" a="1"/>
  <c r="AB23" i="20"/>
  <c r="Q52" i="15" s="1"/>
  <c r="AB41" i="20"/>
  <c r="N70" i="15" s="1"/>
  <c r="V8" i="20"/>
  <c r="M37" i="15" s="1"/>
  <c r="V14" i="20"/>
  <c r="M43" i="15" s="1"/>
  <c r="AB40" i="20"/>
  <c r="Q69" i="15" s="1"/>
  <c r="Q27" i="15" s="1"/>
  <c r="P41" i="20"/>
  <c r="I70" i="15" s="1"/>
  <c r="D10" i="20"/>
  <c r="C39" i="15" s="1"/>
  <c r="AH22" i="20"/>
  <c r="R51" i="15" s="1"/>
  <c r="D22" i="20"/>
  <c r="C51" i="15" s="1"/>
  <c r="P29" i="20"/>
  <c r="K58" i="15" s="1"/>
  <c r="AB8" i="20"/>
  <c r="P37" i="15" s="1"/>
  <c r="V31" i="20"/>
  <c r="M60" i="15" s="1"/>
  <c r="M21" i="15" s="1" a="1"/>
  <c r="P16" i="20"/>
  <c r="I45" i="15" s="1"/>
  <c r="D38" i="20"/>
  <c r="C67" i="15" s="1"/>
  <c r="D35" i="20"/>
  <c r="C64" i="15" s="1"/>
  <c r="D40" i="20"/>
  <c r="C69" i="15" s="1"/>
  <c r="C27" i="15" s="1"/>
  <c r="J15" i="20"/>
  <c r="F44" i="15" s="1"/>
  <c r="J32" i="20"/>
  <c r="F61" i="15" s="1"/>
  <c r="D8" i="20"/>
  <c r="C37" i="15" s="1"/>
  <c r="D32" i="20"/>
  <c r="C61" i="15" s="1"/>
  <c r="D18" i="20"/>
  <c r="C47" i="15" s="1"/>
  <c r="D33" i="20"/>
  <c r="C62" i="15" s="1"/>
  <c r="D34" i="20"/>
  <c r="C63" i="15" s="1"/>
  <c r="D12" i="20"/>
  <c r="C41" i="15" s="1"/>
  <c r="R5" i="20" a="1"/>
  <c r="AD5" i="20" a="1"/>
  <c r="D17" i="20"/>
  <c r="C46" i="15" s="1"/>
  <c r="D16" i="20"/>
  <c r="C45" i="15" s="1"/>
  <c r="D21" i="20"/>
  <c r="AD4" i="20" a="1"/>
  <c r="R4" i="20" a="1"/>
  <c r="F4" i="20" a="1"/>
  <c r="X4" i="20" a="1"/>
  <c r="J33" i="20"/>
  <c r="E62" i="15" s="1"/>
  <c r="P11" i="20"/>
  <c r="I40" i="15" s="1"/>
  <c r="AH14" i="20"/>
  <c r="U43" i="15" s="1"/>
  <c r="AH33" i="20"/>
  <c r="S62" i="15" s="1"/>
  <c r="D20" i="20"/>
  <c r="C49" i="15" s="1"/>
  <c r="AB39" i="20"/>
  <c r="N68" i="15" s="1"/>
  <c r="AH8" i="20"/>
  <c r="S37" i="15" s="1"/>
  <c r="AB22" i="20"/>
  <c r="O51" i="15" s="1"/>
  <c r="J11" i="20"/>
  <c r="D40" i="15" s="1"/>
  <c r="AH29" i="20"/>
  <c r="S58" i="15" s="1"/>
  <c r="AB30" i="20"/>
  <c r="P59" i="15" s="1"/>
  <c r="P22" i="15" s="1"/>
  <c r="V9" i="20"/>
  <c r="M38" i="15" s="1"/>
  <c r="V29" i="20"/>
  <c r="M58" i="15" s="1"/>
  <c r="D30" i="20"/>
  <c r="C59" i="15" s="1"/>
  <c r="C22" i="15" s="1"/>
  <c r="D15" i="20"/>
  <c r="C44" i="15" s="1"/>
  <c r="V28" i="20"/>
  <c r="M57" i="15" s="1"/>
  <c r="D19" i="20"/>
  <c r="C48" i="15" s="1"/>
  <c r="D37" i="20"/>
  <c r="C66" i="15" s="1"/>
  <c r="D41" i="20"/>
  <c r="C70" i="15" s="1"/>
  <c r="J16" i="20"/>
  <c r="H45" i="15" s="1"/>
  <c r="Z4" i="20" a="1"/>
  <c r="J35" i="20"/>
  <c r="H64" i="15" s="1"/>
  <c r="J19" i="20"/>
  <c r="H48" i="15" s="1"/>
  <c r="P35" i="20"/>
  <c r="I64" i="15" s="1"/>
  <c r="P40" i="20"/>
  <c r="J69" i="15" s="1"/>
  <c r="J27" i="15" s="1"/>
  <c r="V24" i="20"/>
  <c r="M53" i="15" s="1"/>
  <c r="J22" i="20"/>
  <c r="G51" i="15" s="1"/>
  <c r="AH12" i="20"/>
  <c r="R41" i="15" s="1"/>
  <c r="V18" i="20"/>
  <c r="M47" i="15" s="1"/>
  <c r="J40" i="20"/>
  <c r="D69" i="15" s="1"/>
  <c r="D27" i="15" s="1"/>
  <c r="J10" i="20"/>
  <c r="F39" i="15" s="1"/>
  <c r="V37" i="20"/>
  <c r="M66" i="15" s="1"/>
  <c r="AB35" i="20"/>
  <c r="N64" i="15" s="1"/>
  <c r="AF6" i="20" a="1"/>
  <c r="N6" i="20" a="1"/>
  <c r="J18" i="20"/>
  <c r="H47" i="15" s="1"/>
  <c r="P18" i="20"/>
  <c r="I47" i="15" s="1"/>
  <c r="AB34" i="20"/>
  <c r="Q63" i="15" s="1"/>
  <c r="Z6" i="20" a="1"/>
  <c r="J14" i="20"/>
  <c r="G43" i="15" s="1"/>
  <c r="P30" i="20"/>
  <c r="I59" i="15" s="1"/>
  <c r="I22" i="15" s="1"/>
  <c r="P20" i="20"/>
  <c r="I49" i="15" s="1"/>
  <c r="I25" i="15" s="1"/>
  <c r="P28" i="20"/>
  <c r="V32" i="20"/>
  <c r="M61" i="15" s="1"/>
  <c r="V12" i="20"/>
  <c r="M41" i="15" s="1"/>
  <c r="AH37" i="20"/>
  <c r="T66" i="15" s="1"/>
  <c r="AB33" i="20"/>
  <c r="Q62" i="15" s="1"/>
  <c r="T6" i="20" a="1"/>
  <c r="J13" i="20"/>
  <c r="D42" i="15" s="1"/>
  <c r="P19" i="20"/>
  <c r="J48" i="15" s="1"/>
  <c r="AH32" i="20"/>
  <c r="S61" i="15" s="1"/>
  <c r="AB38" i="20"/>
  <c r="P67" i="15" s="1"/>
  <c r="V41" i="20"/>
  <c r="M70" i="15" s="1"/>
  <c r="V16" i="20"/>
  <c r="M45" i="15" s="1"/>
  <c r="V21" i="20"/>
  <c r="M50" i="15" s="1"/>
  <c r="J37" i="20"/>
  <c r="D66" i="15" s="1"/>
  <c r="J17" i="20"/>
  <c r="G46" i="15" s="1"/>
  <c r="AH26" i="20"/>
  <c r="T55" i="15" s="1"/>
  <c r="AB10" i="20"/>
  <c r="N39" i="15" s="1"/>
  <c r="J29" i="20"/>
  <c r="E58" i="15" s="1"/>
  <c r="AB20" i="20"/>
  <c r="N49" i="15" s="1"/>
  <c r="N25" i="15" s="1"/>
  <c r="V19" i="20"/>
  <c r="M48" i="15" s="1"/>
  <c r="D11" i="20"/>
  <c r="C40" i="15" s="1"/>
  <c r="AB15" i="20"/>
  <c r="N44" i="15" s="1"/>
  <c r="V40" i="20"/>
  <c r="M69" i="15" s="1"/>
  <c r="M27" i="15" s="1"/>
  <c r="D24" i="20"/>
  <c r="C53" i="15" s="1"/>
  <c r="V7" i="20"/>
  <c r="M36" i="15" s="1"/>
  <c r="V17" i="20"/>
  <c r="M46" i="15" s="1"/>
  <c r="D14" i="20"/>
  <c r="C43" i="15" s="1"/>
  <c r="D39" i="20"/>
  <c r="C68" i="15" s="1"/>
  <c r="J34" i="20"/>
  <c r="H63" i="15" s="1"/>
  <c r="AB14" i="20"/>
  <c r="P43" i="15" s="1"/>
  <c r="J39" i="20"/>
  <c r="E68" i="15" s="1"/>
  <c r="J20" i="20"/>
  <c r="F49" i="15" s="1"/>
  <c r="P15" i="20"/>
  <c r="J44" i="15" s="1"/>
  <c r="V39" i="20"/>
  <c r="M68" i="15" s="1"/>
  <c r="AB11" i="20"/>
  <c r="O40" i="15" s="1"/>
  <c r="AH17" i="20"/>
  <c r="S46" i="15" s="1"/>
  <c r="AB9" i="20"/>
  <c r="N38" i="15" s="1"/>
  <c r="P8" i="20"/>
  <c r="L37" i="15" s="1"/>
  <c r="AH16" i="20"/>
  <c r="T45" i="15" s="1"/>
  <c r="P33" i="20"/>
  <c r="L62" i="15" s="1"/>
  <c r="AH20" i="20"/>
  <c r="T49" i="15" s="1"/>
  <c r="AH23" i="20"/>
  <c r="R52" i="15" s="1"/>
  <c r="AH15" i="20"/>
  <c r="U44" i="15" s="1"/>
  <c r="P22" i="20"/>
  <c r="P14" i="20"/>
  <c r="K43" i="15" s="1"/>
  <c r="P39" i="20"/>
  <c r="L68" i="15" s="1"/>
  <c r="AH40" i="20"/>
  <c r="AH39" i="20"/>
  <c r="P9" i="20"/>
  <c r="L38" i="15" s="1"/>
  <c r="AB28" i="20"/>
  <c r="P57" i="15" s="1"/>
  <c r="AB21" i="20"/>
  <c r="AB32" i="20"/>
  <c r="O61" i="15" s="1"/>
  <c r="AB12" i="20"/>
  <c r="G6" i="20" a="1"/>
  <c r="AK6" i="20" a="1"/>
  <c r="Y6" i="20" a="1"/>
  <c r="S6" i="20" a="1"/>
  <c r="M6" i="20" a="1"/>
  <c r="M4" i="20" a="1"/>
  <c r="AK4" i="20" a="1"/>
  <c r="Y4" i="20" a="1"/>
  <c r="S4" i="20" a="1"/>
  <c r="G4" i="20" a="1"/>
  <c r="AB29" i="20"/>
  <c r="P58" i="15" s="1"/>
  <c r="G5" i="20" a="1"/>
  <c r="M5" i="20" a="1"/>
  <c r="AE5" i="20" a="1"/>
  <c r="AK5" i="20" a="1"/>
  <c r="S5" i="20" a="1"/>
  <c r="Y5" i="20" a="1"/>
  <c r="AH21" i="20"/>
  <c r="R50" i="15" s="1"/>
  <c r="AH13" i="20"/>
  <c r="R42" i="15" s="1"/>
  <c r="AH19" i="20"/>
  <c r="AH9" i="20"/>
  <c r="AH35" i="20"/>
  <c r="AH28" i="20"/>
  <c r="AH10" i="20"/>
  <c r="U39" i="15" s="1"/>
  <c r="V25" i="20"/>
  <c r="M54" i="15" s="1"/>
  <c r="P31" i="20"/>
  <c r="K60" i="15" s="1"/>
  <c r="K21" i="15" s="1" a="1"/>
  <c r="J31" i="20"/>
  <c r="AH25" i="20"/>
  <c r="T54" i="15" s="1"/>
  <c r="J36" i="20"/>
  <c r="G65" i="15" s="1"/>
  <c r="D31" i="20"/>
  <c r="C60" i="15" s="1"/>
  <c r="C21" i="15" s="1" a="1"/>
  <c r="AH31" i="20"/>
  <c r="AB31" i="20"/>
  <c r="J25" i="20"/>
  <c r="P25" i="20"/>
  <c r="AH36" i="20"/>
  <c r="D36" i="20"/>
  <c r="C65" i="15" s="1"/>
  <c r="AB25" i="20"/>
  <c r="D25" i="20"/>
  <c r="C54" i="15" s="1"/>
  <c r="K6" i="20" a="1"/>
  <c r="AI6" i="20" a="1"/>
  <c r="Q6" i="20" a="1"/>
  <c r="W6" i="20" a="1"/>
  <c r="AC6" i="20" a="1"/>
  <c r="E6" i="20" a="1"/>
  <c r="AC5" i="20" a="1"/>
  <c r="E5" i="20" a="1"/>
  <c r="Q5" i="20" a="1"/>
  <c r="AI5" i="20" a="1"/>
  <c r="K5" i="20" a="1"/>
  <c r="W5" i="20" a="1"/>
  <c r="P36" i="20"/>
  <c r="V36" i="20"/>
  <c r="M65" i="15" s="1"/>
  <c r="AB36" i="20"/>
  <c r="K4" i="20" a="1"/>
  <c r="AC4" i="20" a="1"/>
  <c r="AI4" i="20" a="1"/>
  <c r="Q4" i="20" a="1"/>
  <c r="E4" i="20" a="1"/>
  <c r="W4" i="20" a="1"/>
  <c r="C25" i="15" l="1"/>
  <c r="Q50" i="15"/>
  <c r="Q28" i="15" s="1"/>
  <c r="FL69" i="19"/>
  <c r="FM69" i="19" s="1"/>
  <c r="GD69" i="19"/>
  <c r="C50" i="15"/>
  <c r="C26" i="15" s="1"/>
  <c r="KT69" i="19"/>
  <c r="F50" i="15"/>
  <c r="KT56" i="19"/>
  <c r="E60" i="15"/>
  <c r="E21" i="15" s="1" a="1"/>
  <c r="D38" i="15"/>
  <c r="F38" i="15"/>
  <c r="G38" i="15"/>
  <c r="H38" i="15"/>
  <c r="Q46" i="15"/>
  <c r="M25" i="15"/>
  <c r="Q66" i="15"/>
  <c r="S40" i="15"/>
  <c r="L41" i="15"/>
  <c r="N66" i="15"/>
  <c r="J41" i="15"/>
  <c r="P66" i="15"/>
  <c r="P46" i="15"/>
  <c r="O46" i="15"/>
  <c r="U40" i="15"/>
  <c r="I53" i="15"/>
  <c r="P42" i="15"/>
  <c r="D57" i="15"/>
  <c r="R40" i="15"/>
  <c r="F55" i="15"/>
  <c r="J53" i="15"/>
  <c r="L53" i="15"/>
  <c r="L63" i="15"/>
  <c r="D55" i="15"/>
  <c r="H57" i="15"/>
  <c r="K39" i="15"/>
  <c r="H55" i="15"/>
  <c r="G57" i="15"/>
  <c r="E57" i="15"/>
  <c r="G55" i="15"/>
  <c r="K41" i="15"/>
  <c r="H41" i="15"/>
  <c r="I67" i="15"/>
  <c r="I9" i="15" s="1"/>
  <c r="M28" i="15"/>
  <c r="D41" i="15"/>
  <c r="G41" i="15"/>
  <c r="F41" i="15"/>
  <c r="G67" i="15"/>
  <c r="L67" i="15"/>
  <c r="K67" i="15"/>
  <c r="N69" i="15"/>
  <c r="N27" i="15" s="1"/>
  <c r="J4" i="20"/>
  <c r="D33" i="15" s="1"/>
  <c r="H50" i="15"/>
  <c r="D67" i="15"/>
  <c r="D50" i="15"/>
  <c r="D28" i="15" s="1"/>
  <c r="E67" i="15"/>
  <c r="E9" i="15" s="1"/>
  <c r="G50" i="15"/>
  <c r="F67" i="15"/>
  <c r="AB4" i="20"/>
  <c r="O33" i="15" s="1"/>
  <c r="I39" i="15"/>
  <c r="J39" i="15"/>
  <c r="AB6" i="20"/>
  <c r="Q35" i="15" s="1"/>
  <c r="E50" i="15"/>
  <c r="N53" i="15"/>
  <c r="I63" i="15"/>
  <c r="K63" i="15"/>
  <c r="S70" i="15"/>
  <c r="Q48" i="15"/>
  <c r="O48" i="15"/>
  <c r="N48" i="15"/>
  <c r="R70" i="15"/>
  <c r="U70" i="15"/>
  <c r="D44" i="15"/>
  <c r="L52" i="15"/>
  <c r="U63" i="15"/>
  <c r="S63" i="15"/>
  <c r="J5" i="20"/>
  <c r="K52" i="15"/>
  <c r="K28" i="15" s="1"/>
  <c r="R63" i="15"/>
  <c r="I52" i="15"/>
  <c r="P53" i="15"/>
  <c r="Q42" i="15"/>
  <c r="E40" i="15"/>
  <c r="Q53" i="15"/>
  <c r="N42" i="15"/>
  <c r="H62" i="15"/>
  <c r="Q55" i="15"/>
  <c r="H70" i="15"/>
  <c r="D70" i="15"/>
  <c r="K46" i="15"/>
  <c r="R53" i="15"/>
  <c r="S47" i="15"/>
  <c r="J45" i="15"/>
  <c r="J46" i="15"/>
  <c r="I42" i="15"/>
  <c r="I66" i="15"/>
  <c r="J66" i="15"/>
  <c r="O55" i="15"/>
  <c r="K70" i="15"/>
  <c r="T53" i="15"/>
  <c r="N55" i="15"/>
  <c r="K42" i="15"/>
  <c r="F70" i="15"/>
  <c r="L66" i="15"/>
  <c r="S53" i="15"/>
  <c r="E70" i="15"/>
  <c r="L42" i="15"/>
  <c r="I46" i="15"/>
  <c r="D59" i="15"/>
  <c r="D22" i="15" s="1"/>
  <c r="H59" i="15"/>
  <c r="H22" i="15" s="1"/>
  <c r="T47" i="15"/>
  <c r="E59" i="15"/>
  <c r="E22" i="15" s="1"/>
  <c r="F59" i="15"/>
  <c r="F22" i="15" s="1"/>
  <c r="G13" i="15"/>
  <c r="R47" i="15"/>
  <c r="G53" i="15"/>
  <c r="Q47" i="15"/>
  <c r="D53" i="15"/>
  <c r="N47" i="15"/>
  <c r="I13" i="15"/>
  <c r="H13" i="15"/>
  <c r="E37" i="15"/>
  <c r="E53" i="15"/>
  <c r="N13" i="15"/>
  <c r="P47" i="15"/>
  <c r="H53" i="15"/>
  <c r="L40" i="15"/>
  <c r="G52" i="15"/>
  <c r="V5" i="20"/>
  <c r="M34" i="15" s="1"/>
  <c r="E51" i="15"/>
  <c r="L49" i="15"/>
  <c r="U59" i="15"/>
  <c r="U22" i="15" s="1"/>
  <c r="R59" i="15"/>
  <c r="R22" i="15" s="1"/>
  <c r="D5" i="20"/>
  <c r="C34" i="15" s="1"/>
  <c r="L59" i="15"/>
  <c r="L22" i="15" s="1"/>
  <c r="P4" i="20"/>
  <c r="J33" i="15" s="1"/>
  <c r="F37" i="15"/>
  <c r="K59" i="15"/>
  <c r="K22" i="15" s="1"/>
  <c r="D13" i="15"/>
  <c r="BK26" i="19"/>
  <c r="E27" i="20" s="1" a="1"/>
  <c r="D27" i="20" s="1"/>
  <c r="C56" i="15" s="1"/>
  <c r="C29" i="15" s="1"/>
  <c r="M24" i="15" a="1"/>
  <c r="J55" i="15"/>
  <c r="T59" i="15"/>
  <c r="T22" i="15" s="1"/>
  <c r="R13" i="15"/>
  <c r="M13" i="15"/>
  <c r="K13" i="15"/>
  <c r="C24" i="15" a="1"/>
  <c r="Q13" i="15"/>
  <c r="T13" i="15"/>
  <c r="O45" i="15"/>
  <c r="E52" i="15"/>
  <c r="T51" i="15"/>
  <c r="P13" i="15"/>
  <c r="J13" i="15"/>
  <c r="C13" i="15"/>
  <c r="O13" i="15"/>
  <c r="T43" i="15"/>
  <c r="U51" i="15"/>
  <c r="E13" i="15"/>
  <c r="F13" i="15"/>
  <c r="J59" i="15"/>
  <c r="J22" i="15" s="1"/>
  <c r="H52" i="15"/>
  <c r="F52" i="15"/>
  <c r="L13" i="15"/>
  <c r="U13" i="15"/>
  <c r="S13" i="15"/>
  <c r="N45" i="15"/>
  <c r="L58" i="15"/>
  <c r="BM26" i="19"/>
  <c r="Q27" i="20" s="1" a="1"/>
  <c r="P27" i="20" s="1"/>
  <c r="I56" i="15" s="1"/>
  <c r="I29" i="15" s="1"/>
  <c r="Q45" i="15"/>
  <c r="J58" i="15"/>
  <c r="T41" i="15"/>
  <c r="G45" i="15"/>
  <c r="D46" i="15"/>
  <c r="O37" i="15"/>
  <c r="F62" i="15"/>
  <c r="F51" i="15"/>
  <c r="K49" i="15"/>
  <c r="L61" i="15"/>
  <c r="J50" i="15"/>
  <c r="J28" i="15" s="1"/>
  <c r="R37" i="15"/>
  <c r="K61" i="15"/>
  <c r="H51" i="15"/>
  <c r="F46" i="15"/>
  <c r="O39" i="15"/>
  <c r="E61" i="15"/>
  <c r="G61" i="15"/>
  <c r="N52" i="15"/>
  <c r="J40" i="15"/>
  <c r="F45" i="15"/>
  <c r="O70" i="15"/>
  <c r="L50" i="15"/>
  <c r="F66" i="15"/>
  <c r="P39" i="15"/>
  <c r="K45" i="15"/>
  <c r="D37" i="15"/>
  <c r="H66" i="15"/>
  <c r="T67" i="15"/>
  <c r="I61" i="15"/>
  <c r="Q70" i="15"/>
  <c r="L45" i="15"/>
  <c r="P69" i="15"/>
  <c r="P27" i="15" s="1"/>
  <c r="P6" i="20"/>
  <c r="J35" i="15" s="1"/>
  <c r="G37" i="15"/>
  <c r="K40" i="15"/>
  <c r="S67" i="15"/>
  <c r="S43" i="15"/>
  <c r="P70" i="15"/>
  <c r="L55" i="15"/>
  <c r="P64" i="15"/>
  <c r="P52" i="15"/>
  <c r="O52" i="15"/>
  <c r="I55" i="15"/>
  <c r="R43" i="15"/>
  <c r="P68" i="15"/>
  <c r="R67" i="15"/>
  <c r="R9" i="15" s="1"/>
  <c r="I50" i="15"/>
  <c r="N37" i="15"/>
  <c r="Q59" i="15"/>
  <c r="Q22" i="15" s="1"/>
  <c r="O69" i="15"/>
  <c r="O27" i="15" s="1"/>
  <c r="V6" i="20"/>
  <c r="M35" i="15" s="1"/>
  <c r="H44" i="15"/>
  <c r="J70" i="15"/>
  <c r="L70" i="15"/>
  <c r="E44" i="15"/>
  <c r="G44" i="15"/>
  <c r="G42" i="15"/>
  <c r="Q39" i="15"/>
  <c r="T61" i="15"/>
  <c r="R61" i="15"/>
  <c r="J49" i="15"/>
  <c r="J25" i="15" s="1"/>
  <c r="O68" i="15"/>
  <c r="I58" i="15"/>
  <c r="G66" i="15"/>
  <c r="E66" i="15"/>
  <c r="R62" i="15"/>
  <c r="S41" i="15"/>
  <c r="U62" i="15"/>
  <c r="D51" i="15"/>
  <c r="H61" i="15"/>
  <c r="T62" i="15"/>
  <c r="Q37" i="15"/>
  <c r="AB5" i="20"/>
  <c r="Q34" i="15" s="1"/>
  <c r="G49" i="15"/>
  <c r="S51" i="15"/>
  <c r="E45" i="15"/>
  <c r="D61" i="15"/>
  <c r="Q68" i="15"/>
  <c r="U41" i="15"/>
  <c r="O59" i="15"/>
  <c r="O22" i="15" s="1"/>
  <c r="N59" i="15"/>
  <c r="N22" i="15" s="1"/>
  <c r="G40" i="15"/>
  <c r="D62" i="15"/>
  <c r="G62" i="15"/>
  <c r="F40" i="15"/>
  <c r="H40" i="15"/>
  <c r="T58" i="15"/>
  <c r="T37" i="15"/>
  <c r="L48" i="15"/>
  <c r="D45" i="15"/>
  <c r="P51" i="15"/>
  <c r="BN26" i="19"/>
  <c r="W27" i="20" s="1" a="1"/>
  <c r="V27" i="20" s="1"/>
  <c r="M56" i="15" s="1"/>
  <c r="M29" i="15" s="1"/>
  <c r="R58" i="15"/>
  <c r="U58" i="15"/>
  <c r="G69" i="15"/>
  <c r="G27" i="15" s="1"/>
  <c r="N51" i="15"/>
  <c r="U37" i="15"/>
  <c r="Q51" i="15"/>
  <c r="J64" i="15"/>
  <c r="V4" i="20"/>
  <c r="M33" i="15" s="1"/>
  <c r="M23" i="15" s="1"/>
  <c r="G68" i="15"/>
  <c r="AH4" i="20"/>
  <c r="T33" i="15" s="1"/>
  <c r="P62" i="15"/>
  <c r="K64" i="15"/>
  <c r="F68" i="15"/>
  <c r="L64" i="15"/>
  <c r="H46" i="15"/>
  <c r="H42" i="15"/>
  <c r="F42" i="15"/>
  <c r="H68" i="15"/>
  <c r="Q44" i="15"/>
  <c r="O44" i="15"/>
  <c r="E43" i="15"/>
  <c r="FL56" i="19"/>
  <c r="FM56" i="19" s="1"/>
  <c r="O43" i="15"/>
  <c r="O62" i="15"/>
  <c r="S66" i="15"/>
  <c r="N62" i="15"/>
  <c r="N43" i="15"/>
  <c r="U46" i="15"/>
  <c r="P38" i="15"/>
  <c r="P44" i="15"/>
  <c r="O38" i="15"/>
  <c r="P50" i="15"/>
  <c r="K47" i="15"/>
  <c r="G39" i="15"/>
  <c r="H39" i="15"/>
  <c r="P63" i="15"/>
  <c r="E48" i="15"/>
  <c r="F69" i="15"/>
  <c r="F27" i="15" s="1"/>
  <c r="H58" i="15"/>
  <c r="F48" i="15"/>
  <c r="F25" i="15" s="1"/>
  <c r="U66" i="15"/>
  <c r="G48" i="15"/>
  <c r="D48" i="15"/>
  <c r="D39" i="15"/>
  <c r="H69" i="15"/>
  <c r="H27" i="15" s="1"/>
  <c r="D68" i="15"/>
  <c r="D43" i="15"/>
  <c r="Q57" i="15"/>
  <c r="E69" i="15"/>
  <c r="E27" i="15" s="1"/>
  <c r="D64" i="15"/>
  <c r="J38" i="15"/>
  <c r="F43" i="15"/>
  <c r="F58" i="15"/>
  <c r="L47" i="15"/>
  <c r="L24" i="15" s="1" a="1"/>
  <c r="G64" i="15"/>
  <c r="H43" i="15"/>
  <c r="L69" i="15"/>
  <c r="L27" i="15" s="1"/>
  <c r="O67" i="15"/>
  <c r="K69" i="15"/>
  <c r="K27" i="15" s="1"/>
  <c r="I69" i="15"/>
  <c r="I27" i="15" s="1"/>
  <c r="N67" i="15"/>
  <c r="N9" i="15" s="1"/>
  <c r="M26" i="15"/>
  <c r="Q38" i="15"/>
  <c r="K57" i="15"/>
  <c r="R46" i="15"/>
  <c r="G58" i="15"/>
  <c r="E47" i="15"/>
  <c r="R66" i="15"/>
  <c r="G47" i="15"/>
  <c r="D47" i="15"/>
  <c r="U61" i="15"/>
  <c r="F47" i="15"/>
  <c r="E64" i="15"/>
  <c r="F64" i="15"/>
  <c r="E39" i="15"/>
  <c r="S55" i="15"/>
  <c r="Q67" i="15"/>
  <c r="Q64" i="15"/>
  <c r="O64" i="15"/>
  <c r="BL26" i="19"/>
  <c r="K27" i="20" s="1" a="1"/>
  <c r="J27" i="20" s="1"/>
  <c r="D56" i="15" s="1"/>
  <c r="D29" i="15" s="1"/>
  <c r="S50" i="15"/>
  <c r="K48" i="15"/>
  <c r="L57" i="15"/>
  <c r="I57" i="15"/>
  <c r="I37" i="15"/>
  <c r="J6" i="20"/>
  <c r="H35" i="15" s="1"/>
  <c r="E46" i="15"/>
  <c r="E42" i="15"/>
  <c r="P49" i="15"/>
  <c r="P25" i="15" s="1"/>
  <c r="U55" i="15"/>
  <c r="D58" i="15"/>
  <c r="R55" i="15"/>
  <c r="I48" i="15"/>
  <c r="J47" i="15"/>
  <c r="O63" i="15"/>
  <c r="N63" i="15"/>
  <c r="J57" i="15"/>
  <c r="P40" i="15"/>
  <c r="S52" i="15"/>
  <c r="R45" i="15"/>
  <c r="F63" i="15"/>
  <c r="N40" i="15"/>
  <c r="Q49" i="15"/>
  <c r="T44" i="15"/>
  <c r="K38" i="15"/>
  <c r="O49" i="15"/>
  <c r="D63" i="15"/>
  <c r="E63" i="15"/>
  <c r="Q40" i="15"/>
  <c r="I38" i="15"/>
  <c r="R28" i="15"/>
  <c r="T46" i="15"/>
  <c r="P61" i="15"/>
  <c r="U45" i="15"/>
  <c r="G63" i="15"/>
  <c r="S45" i="15"/>
  <c r="Q43" i="15"/>
  <c r="GD56" i="19"/>
  <c r="T50" i="15"/>
  <c r="L43" i="15"/>
  <c r="J43" i="15"/>
  <c r="N50" i="15"/>
  <c r="S39" i="15"/>
  <c r="E49" i="15"/>
  <c r="E25" i="15" s="1"/>
  <c r="O50" i="15"/>
  <c r="I43" i="15"/>
  <c r="K51" i="15"/>
  <c r="Q61" i="15"/>
  <c r="D49" i="15"/>
  <c r="D25" i="15" s="1"/>
  <c r="H49" i="15"/>
  <c r="H25" i="15" s="1"/>
  <c r="N61" i="15"/>
  <c r="T69" i="15"/>
  <c r="T27" i="15" s="1"/>
  <c r="R69" i="15"/>
  <c r="R27" i="15" s="1"/>
  <c r="S69" i="15"/>
  <c r="S27" i="15" s="1"/>
  <c r="U69" i="15"/>
  <c r="U27" i="15" s="1"/>
  <c r="R49" i="15"/>
  <c r="R25" i="15" s="1"/>
  <c r="U49" i="15"/>
  <c r="J37" i="15"/>
  <c r="K37" i="15"/>
  <c r="I44" i="15"/>
  <c r="L44" i="15"/>
  <c r="I62" i="15"/>
  <c r="J62" i="15"/>
  <c r="O58" i="15"/>
  <c r="U50" i="15"/>
  <c r="I51" i="15"/>
  <c r="J51" i="15"/>
  <c r="I68" i="15"/>
  <c r="J68" i="15"/>
  <c r="L51" i="15"/>
  <c r="O57" i="15"/>
  <c r="N57" i="15"/>
  <c r="Q58" i="15"/>
  <c r="K62" i="15"/>
  <c r="BO26" i="19"/>
  <c r="AC27" i="20" s="1" a="1"/>
  <c r="AB27" i="20" s="1"/>
  <c r="N56" i="15" s="1"/>
  <c r="N29" i="15" s="1"/>
  <c r="K44" i="15"/>
  <c r="S49" i="15"/>
  <c r="S44" i="15"/>
  <c r="R44" i="15"/>
  <c r="K68" i="15"/>
  <c r="R68" i="15"/>
  <c r="U68" i="15"/>
  <c r="S68" i="15"/>
  <c r="T68" i="15"/>
  <c r="U52" i="15"/>
  <c r="T52" i="15"/>
  <c r="P5" i="20"/>
  <c r="K34" i="15" s="1"/>
  <c r="P41" i="15"/>
  <c r="O41" i="15"/>
  <c r="Q41" i="15"/>
  <c r="N41" i="15"/>
  <c r="AH5" i="20"/>
  <c r="R34" i="15" s="1"/>
  <c r="D6" i="20"/>
  <c r="C35" i="15" s="1"/>
  <c r="AH6" i="20"/>
  <c r="R35" i="15" s="1"/>
  <c r="N58" i="15"/>
  <c r="D4" i="20"/>
  <c r="C33" i="15" s="1"/>
  <c r="S38" i="15"/>
  <c r="U38" i="15"/>
  <c r="R38" i="15"/>
  <c r="T38" i="15"/>
  <c r="R39" i="15"/>
  <c r="R48" i="15"/>
  <c r="S48" i="15"/>
  <c r="T48" i="15"/>
  <c r="T25" i="15" s="1"/>
  <c r="U48" i="15"/>
  <c r="U42" i="15"/>
  <c r="T42" i="15"/>
  <c r="S42" i="15"/>
  <c r="U64" i="15"/>
  <c r="T64" i="15"/>
  <c r="R64" i="15"/>
  <c r="S64" i="15"/>
  <c r="T57" i="15"/>
  <c r="BP26" i="19"/>
  <c r="AI27" i="20" s="1" a="1"/>
  <c r="AH27" i="20" s="1"/>
  <c r="R56" i="15" s="1"/>
  <c r="R29" i="15" s="1"/>
  <c r="U57" i="15"/>
  <c r="S57" i="15"/>
  <c r="R57" i="15"/>
  <c r="T39" i="15"/>
  <c r="L60" i="15"/>
  <c r="L21" i="15" s="1" a="1"/>
  <c r="E65" i="15"/>
  <c r="H60" i="15"/>
  <c r="H21" i="15" s="1" a="1"/>
  <c r="D60" i="15"/>
  <c r="D21" i="15" s="1" a="1"/>
  <c r="J60" i="15"/>
  <c r="J21" i="15" s="1" a="1"/>
  <c r="I60" i="15"/>
  <c r="I21" i="15" s="1" a="1"/>
  <c r="F65" i="15"/>
  <c r="F60" i="15"/>
  <c r="F21" i="15" s="1" a="1"/>
  <c r="G60" i="15"/>
  <c r="G21" i="15" s="1" a="1"/>
  <c r="H65" i="15"/>
  <c r="D65" i="15"/>
  <c r="S54" i="15"/>
  <c r="R54" i="15"/>
  <c r="U54" i="15"/>
  <c r="Q60" i="15"/>
  <c r="Q21" i="15" s="1" a="1"/>
  <c r="N60" i="15"/>
  <c r="N21" i="15" s="1" a="1"/>
  <c r="O60" i="15"/>
  <c r="O21" i="15" s="1" a="1"/>
  <c r="P60" i="15"/>
  <c r="P21" i="15" s="1" a="1"/>
  <c r="J54" i="15"/>
  <c r="L54" i="15"/>
  <c r="K54" i="15"/>
  <c r="I54" i="15"/>
  <c r="T60" i="15"/>
  <c r="T21" i="15" s="1" a="1"/>
  <c r="R60" i="15"/>
  <c r="R21" i="15" s="1" a="1"/>
  <c r="U60" i="15"/>
  <c r="U21" i="15" s="1" a="1"/>
  <c r="S60" i="15"/>
  <c r="S21" i="15" s="1" a="1"/>
  <c r="N54" i="15"/>
  <c r="P54" i="15"/>
  <c r="O54" i="15"/>
  <c r="Q54" i="15"/>
  <c r="G54" i="15"/>
  <c r="F54" i="15"/>
  <c r="E54" i="15"/>
  <c r="D54" i="15"/>
  <c r="H54" i="15"/>
  <c r="P65" i="15"/>
  <c r="O65" i="15"/>
  <c r="Q65" i="15"/>
  <c r="N65" i="15"/>
  <c r="J65" i="15"/>
  <c r="I65" i="15"/>
  <c r="K65" i="15"/>
  <c r="L65" i="15"/>
  <c r="S65" i="15"/>
  <c r="R65" i="15"/>
  <c r="T65" i="15"/>
  <c r="U65" i="15"/>
  <c r="C28" i="15" l="1"/>
  <c r="DZ6" i="19"/>
  <c r="EE6" i="19"/>
  <c r="F28" i="15"/>
  <c r="G25" i="15"/>
  <c r="Q24" i="15" a="1"/>
  <c r="U24" i="15" a="1"/>
  <c r="H28" i="15"/>
  <c r="N24" i="15" a="1"/>
  <c r="G24" i="15" a="1"/>
  <c r="H24" i="15" a="1"/>
  <c r="D24" i="15" a="1"/>
  <c r="K56" i="15"/>
  <c r="K29" i="15" s="1"/>
  <c r="L56" i="15"/>
  <c r="L29" i="15" s="1"/>
  <c r="O56" i="15"/>
  <c r="O29" i="15" s="1"/>
  <c r="G56" i="15"/>
  <c r="G29" i="15" s="1"/>
  <c r="H56" i="15"/>
  <c r="H29" i="15" s="1"/>
  <c r="Q56" i="15"/>
  <c r="Q29" i="15" s="1"/>
  <c r="P56" i="15"/>
  <c r="P29" i="15" s="1"/>
  <c r="E56" i="15"/>
  <c r="E29" i="15" s="1"/>
  <c r="S56" i="15"/>
  <c r="S29" i="15" s="1"/>
  <c r="F56" i="15"/>
  <c r="F29" i="15" s="1"/>
  <c r="U56" i="15"/>
  <c r="U29" i="15" s="1"/>
  <c r="T56" i="15"/>
  <c r="T29" i="15" s="1"/>
  <c r="J56" i="15"/>
  <c r="J29" i="15" s="1"/>
  <c r="J10" i="15" a="1"/>
  <c r="J11" i="15" s="1"/>
  <c r="J9" i="15" s="1"/>
  <c r="F10" i="15" a="1"/>
  <c r="F11" i="15" s="1"/>
  <c r="F9" i="15" s="1"/>
  <c r="S10" i="15" a="1"/>
  <c r="S11" i="15" s="1"/>
  <c r="S9" i="15" s="1"/>
  <c r="O10" i="15" a="1"/>
  <c r="O11" i="15" s="1"/>
  <c r="O9" i="15" s="1"/>
  <c r="P24" i="15" a="1"/>
  <c r="Q25" i="15"/>
  <c r="I24" i="15" a="1"/>
  <c r="L25" i="15"/>
  <c r="K24" i="15" a="1"/>
  <c r="O35" i="15"/>
  <c r="Q33" i="15"/>
  <c r="H33" i="15"/>
  <c r="N33" i="15"/>
  <c r="P33" i="15"/>
  <c r="E28" i="15"/>
  <c r="O34" i="15"/>
  <c r="G33" i="15"/>
  <c r="E33" i="15"/>
  <c r="F33" i="15"/>
  <c r="D34" i="15"/>
  <c r="H34" i="15"/>
  <c r="P35" i="15"/>
  <c r="N35" i="15"/>
  <c r="G28" i="15"/>
  <c r="E34" i="15"/>
  <c r="G34" i="15"/>
  <c r="O25" i="15"/>
  <c r="DY6" i="19"/>
  <c r="V6" i="19"/>
  <c r="F34" i="15"/>
  <c r="Q26" i="15"/>
  <c r="L28" i="15"/>
  <c r="I28" i="15"/>
  <c r="R24" i="15" a="1"/>
  <c r="F24" i="15" a="1"/>
  <c r="I33" i="15"/>
  <c r="K33" i="15"/>
  <c r="G26" i="15"/>
  <c r="R26" i="15"/>
  <c r="P34" i="15"/>
  <c r="N34" i="15"/>
  <c r="U6" i="19"/>
  <c r="Y6" i="19"/>
  <c r="AC7" i="20" s="1" a="1"/>
  <c r="AB7" i="20" s="1"/>
  <c r="D26" i="15"/>
  <c r="E26" i="15"/>
  <c r="L34" i="15"/>
  <c r="O28" i="15"/>
  <c r="K25" i="15"/>
  <c r="H26" i="15"/>
  <c r="L33" i="15"/>
  <c r="L35" i="15"/>
  <c r="S24" i="15" a="1"/>
  <c r="M19" i="15"/>
  <c r="M5" i="15" s="1"/>
  <c r="M14" i="21" s="1"/>
  <c r="M16" i="21" s="1"/>
  <c r="O24" i="15" a="1"/>
  <c r="F26" i="15"/>
  <c r="J26" i="15"/>
  <c r="N28" i="15"/>
  <c r="P28" i="15"/>
  <c r="K35" i="15"/>
  <c r="R33" i="15"/>
  <c r="I35" i="15"/>
  <c r="P26" i="15"/>
  <c r="U33" i="15"/>
  <c r="S33" i="15"/>
  <c r="S34" i="15"/>
  <c r="S35" i="15"/>
  <c r="U25" i="15"/>
  <c r="K26" i="15"/>
  <c r="E24" i="15" a="1"/>
  <c r="J24" i="15" a="1"/>
  <c r="S28" i="15"/>
  <c r="I26" i="15"/>
  <c r="T24" i="15" a="1"/>
  <c r="D35" i="15"/>
  <c r="E35" i="15"/>
  <c r="F35" i="15"/>
  <c r="T35" i="15"/>
  <c r="G35" i="15"/>
  <c r="U35" i="15"/>
  <c r="L26" i="15"/>
  <c r="Z6" i="19"/>
  <c r="AI7" i="20" s="1" a="1"/>
  <c r="AH7" i="20" s="1"/>
  <c r="S26" i="15"/>
  <c r="U34" i="15"/>
  <c r="EA6" i="19"/>
  <c r="T34" i="15"/>
  <c r="J34" i="15"/>
  <c r="M20" i="15"/>
  <c r="T28" i="15"/>
  <c r="O26" i="15"/>
  <c r="T26" i="15"/>
  <c r="U26" i="15"/>
  <c r="N26" i="15"/>
  <c r="S25" i="15"/>
  <c r="U28" i="15"/>
  <c r="W6" i="19"/>
  <c r="I34" i="15"/>
  <c r="P10" i="15" a="1"/>
  <c r="P11" i="15" s="1"/>
  <c r="P9" i="15" s="1"/>
  <c r="T10" i="15" a="1"/>
  <c r="T11" i="15" s="1"/>
  <c r="T9" i="15" s="1"/>
  <c r="K10" i="15" a="1"/>
  <c r="K11" i="15" s="1"/>
  <c r="K9" i="15" s="1"/>
  <c r="G10" i="15" a="1"/>
  <c r="G11" i="15" s="1"/>
  <c r="G9" i="15" s="1"/>
  <c r="K7" i="20" l="1" a="1"/>
  <c r="E7" i="20" a="1"/>
  <c r="D7" i="20" s="1"/>
  <c r="C36" i="15" s="1"/>
  <c r="C23" i="15" s="1"/>
  <c r="C20" i="15" s="1"/>
  <c r="Q7" i="20" a="1"/>
  <c r="P7" i="20" s="1"/>
  <c r="K36" i="15" s="1"/>
  <c r="K23" i="15" s="1"/>
  <c r="T36" i="15"/>
  <c r="T23" i="15" s="1"/>
  <c r="T19" i="15" s="1"/>
  <c r="T5" i="15" s="1"/>
  <c r="U36" i="15"/>
  <c r="U23" i="15" s="1"/>
  <c r="S36" i="15"/>
  <c r="S23" i="15" s="1"/>
  <c r="S19" i="15" s="1"/>
  <c r="S5" i="15" s="1"/>
  <c r="R36" i="15"/>
  <c r="R23" i="15" s="1"/>
  <c r="R20" i="15" s="1"/>
  <c r="N36" i="15"/>
  <c r="N23" i="15" s="1"/>
  <c r="O36" i="15"/>
  <c r="O23" i="15" s="1"/>
  <c r="O20" i="15" s="1"/>
  <c r="P36" i="15"/>
  <c r="P23" i="15" s="1"/>
  <c r="Q36" i="15"/>
  <c r="Q23" i="15" s="1"/>
  <c r="M2" i="15"/>
  <c r="J7" i="20" l="1"/>
  <c r="E36" i="15" s="1"/>
  <c r="E23" i="15" s="1"/>
  <c r="C19" i="15"/>
  <c r="C5" i="15" s="1"/>
  <c r="G14" i="21" s="1"/>
  <c r="G16" i="21" s="1"/>
  <c r="J36" i="15"/>
  <c r="J23" i="15" s="1"/>
  <c r="J20" i="15" s="1"/>
  <c r="L36" i="15"/>
  <c r="L23" i="15" s="1"/>
  <c r="L20" i="15" s="1"/>
  <c r="I36" i="15"/>
  <c r="I23" i="15" s="1"/>
  <c r="I19" i="15" s="1"/>
  <c r="I5" i="15" s="1"/>
  <c r="N19" i="15"/>
  <c r="N5" i="15" s="1"/>
  <c r="N20" i="15"/>
  <c r="S20" i="15"/>
  <c r="T20" i="15"/>
  <c r="P20" i="15"/>
  <c r="P19" i="15"/>
  <c r="P5" i="15" s="1"/>
  <c r="K15" i="21" s="1"/>
  <c r="Q20" i="15"/>
  <c r="Q19" i="15"/>
  <c r="Q5" i="15" s="1"/>
  <c r="U20" i="15"/>
  <c r="U19" i="15"/>
  <c r="U5" i="15" s="1"/>
  <c r="K20" i="15"/>
  <c r="K19" i="15"/>
  <c r="K5" i="15" s="1"/>
  <c r="R19" i="15"/>
  <c r="R5" i="15" s="1"/>
  <c r="O19" i="15"/>
  <c r="O5" i="15" s="1"/>
  <c r="E20" i="15" l="1"/>
  <c r="E19" i="15"/>
  <c r="E5" i="15" s="1"/>
  <c r="I14" i="21" s="1"/>
  <c r="F36" i="15"/>
  <c r="F23" i="15" s="1"/>
  <c r="F19" i="15" s="1"/>
  <c r="F5" i="15" s="1"/>
  <c r="G36" i="15"/>
  <c r="G23" i="15" s="1"/>
  <c r="G19" i="15" s="1"/>
  <c r="G5" i="15" s="1"/>
  <c r="K14" i="21" s="1"/>
  <c r="K16" i="21" s="1"/>
  <c r="H36" i="15"/>
  <c r="H23" i="15" s="1"/>
  <c r="H20" i="15" s="1"/>
  <c r="D36" i="15"/>
  <c r="D23" i="15" s="1"/>
  <c r="D19" i="15" s="1"/>
  <c r="D5" i="15" s="1"/>
  <c r="H14" i="21" s="1"/>
  <c r="H16" i="21" s="1"/>
  <c r="L19" i="15"/>
  <c r="L5" i="15" s="1"/>
  <c r="I20" i="15"/>
  <c r="J19" i="15"/>
  <c r="J5" i="15" s="1"/>
  <c r="I15" i="21"/>
  <c r="N2" i="15"/>
  <c r="R2" i="15"/>
  <c r="L15" i="21"/>
  <c r="J15" i="21"/>
  <c r="J14" i="21" l="1"/>
  <c r="J16" i="21" s="1"/>
  <c r="H19" i="15"/>
  <c r="H5" i="15" s="1"/>
  <c r="E2" i="15" s="1"/>
  <c r="G20" i="15"/>
  <c r="D20" i="15"/>
  <c r="F20" i="15"/>
  <c r="C2" i="15"/>
  <c r="I2" i="15"/>
  <c r="N15" i="21"/>
  <c r="I16" i="21"/>
  <c r="L14" i="21" l="1"/>
  <c r="N14" i="21" s="1"/>
  <c r="N9" i="21" s="1"/>
  <c r="N16" i="21" l="1"/>
  <c r="M9" i="21"/>
  <c r="L16" i="21"/>
  <c r="N4" i="21" s="1"/>
  <c r="O14" i="21" l="1"/>
  <c r="N5" i="21"/>
  <c r="M5" i="21" s="1"/>
  <c r="L17" i="21"/>
  <c r="Q9" i="21"/>
  <c r="M17" i="21"/>
  <c r="O15" i="21"/>
  <c r="K17" i="21"/>
  <c r="H17" i="21"/>
  <c r="P9" i="21"/>
  <c r="L9" i="21"/>
  <c r="N17" i="21"/>
  <c r="O9" i="21"/>
  <c r="G17" i="21"/>
  <c r="O4" i="21"/>
  <c r="M4" i="21" s="1"/>
  <c r="I17" i="21"/>
  <c r="J17"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정현준</author>
  </authors>
  <commentList>
    <comment ref="B7" authorId="0" shapeId="0" xr:uid="{B92F8256-2499-446E-B7C9-88BDE9DDB15A}">
      <text>
        <r>
          <rPr>
            <b/>
            <sz val="9"/>
            <color indexed="81"/>
            <rFont val="Tahoma"/>
            <family val="2"/>
          </rPr>
          <t>defaut</t>
        </r>
        <r>
          <rPr>
            <b/>
            <sz val="9"/>
            <color indexed="81"/>
            <rFont val="돋움"/>
            <family val="3"/>
            <charset val="129"/>
          </rPr>
          <t>는</t>
        </r>
        <r>
          <rPr>
            <b/>
            <sz val="9"/>
            <color indexed="81"/>
            <rFont val="Tahoma"/>
            <family val="2"/>
          </rPr>
          <t xml:space="preserve"> </t>
        </r>
        <r>
          <rPr>
            <b/>
            <sz val="9"/>
            <color indexed="81"/>
            <rFont val="돋움"/>
            <family val="3"/>
            <charset val="129"/>
          </rPr>
          <t>코어픽셀수로</t>
        </r>
        <r>
          <rPr>
            <b/>
            <sz val="9"/>
            <color indexed="81"/>
            <rFont val="Tahoma"/>
            <family val="2"/>
          </rPr>
          <t xml:space="preserve"> </t>
        </r>
        <r>
          <rPr>
            <b/>
            <sz val="9"/>
            <color indexed="81"/>
            <rFont val="돋움"/>
            <family val="3"/>
            <charset val="129"/>
          </rPr>
          <t>코어히트율을</t>
        </r>
        <r>
          <rPr>
            <b/>
            <sz val="9"/>
            <color indexed="81"/>
            <rFont val="Tahoma"/>
            <family val="2"/>
          </rPr>
          <t xml:space="preserve"> </t>
        </r>
        <r>
          <rPr>
            <b/>
            <sz val="9"/>
            <color indexed="81"/>
            <rFont val="돋움"/>
            <family val="3"/>
            <charset val="129"/>
          </rPr>
          <t>계산</t>
        </r>
        <r>
          <rPr>
            <b/>
            <sz val="9"/>
            <color indexed="81"/>
            <rFont val="Tahoma"/>
            <family val="2"/>
          </rPr>
          <t xml:space="preserve">.
</t>
        </r>
        <r>
          <rPr>
            <b/>
            <sz val="9"/>
            <color indexed="81"/>
            <rFont val="돋움"/>
            <family val="3"/>
            <charset val="129"/>
          </rPr>
          <t>코어히트율</t>
        </r>
        <r>
          <rPr>
            <b/>
            <sz val="9"/>
            <color indexed="81"/>
            <rFont val="Tahoma"/>
            <family val="2"/>
          </rPr>
          <t xml:space="preserve"> </t>
        </r>
        <r>
          <rPr>
            <b/>
            <sz val="9"/>
            <color indexed="81"/>
            <rFont val="돋움"/>
            <family val="3"/>
            <charset val="129"/>
          </rPr>
          <t>셀에</t>
        </r>
        <r>
          <rPr>
            <b/>
            <sz val="9"/>
            <color indexed="81"/>
            <rFont val="Tahoma"/>
            <family val="2"/>
          </rPr>
          <t xml:space="preserve"> </t>
        </r>
        <r>
          <rPr>
            <b/>
            <sz val="9"/>
            <color indexed="81"/>
            <rFont val="돋움"/>
            <family val="3"/>
            <charset val="129"/>
          </rPr>
          <t>숫자가</t>
        </r>
        <r>
          <rPr>
            <b/>
            <sz val="9"/>
            <color indexed="81"/>
            <rFont val="Tahoma"/>
            <family val="2"/>
          </rPr>
          <t xml:space="preserve"> </t>
        </r>
        <r>
          <rPr>
            <b/>
            <sz val="9"/>
            <color indexed="81"/>
            <rFont val="돋움"/>
            <family val="3"/>
            <charset val="129"/>
          </rPr>
          <t>입력될</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입력</t>
        </r>
        <r>
          <rPr>
            <b/>
            <sz val="9"/>
            <color indexed="81"/>
            <rFont val="Tahoma"/>
            <family val="2"/>
          </rPr>
          <t xml:space="preserve"> </t>
        </r>
        <r>
          <rPr>
            <b/>
            <sz val="9"/>
            <color indexed="81"/>
            <rFont val="돋움"/>
            <family val="3"/>
            <charset val="129"/>
          </rPr>
          <t>된</t>
        </r>
        <r>
          <rPr>
            <b/>
            <sz val="9"/>
            <color indexed="81"/>
            <rFont val="Tahoma"/>
            <family val="2"/>
          </rPr>
          <t xml:space="preserve"> </t>
        </r>
        <r>
          <rPr>
            <b/>
            <sz val="9"/>
            <color indexed="81"/>
            <rFont val="돋움"/>
            <family val="3"/>
            <charset val="129"/>
          </rPr>
          <t>숫자로</t>
        </r>
        <r>
          <rPr>
            <b/>
            <sz val="9"/>
            <color indexed="81"/>
            <rFont val="Tahoma"/>
            <family val="2"/>
          </rPr>
          <t xml:space="preserve"> </t>
        </r>
        <r>
          <rPr>
            <b/>
            <sz val="9"/>
            <color indexed="81"/>
            <rFont val="돋움"/>
            <family val="3"/>
            <charset val="129"/>
          </rPr>
          <t>계산</t>
        </r>
        <r>
          <rPr>
            <b/>
            <sz val="9"/>
            <color indexed="81"/>
            <rFont val="Tahoma"/>
            <family val="2"/>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정현준</author>
  </authors>
  <commentList>
    <comment ref="B14" authorId="0" shapeId="0" xr:uid="{13B78D1C-34EB-444E-B104-6CCB6611C98A}">
      <text>
        <r>
          <rPr>
            <b/>
            <sz val="9"/>
            <color indexed="81"/>
            <rFont val="돋움"/>
            <family val="3"/>
            <charset val="129"/>
          </rPr>
          <t>흑련</t>
        </r>
        <r>
          <rPr>
            <b/>
            <sz val="9"/>
            <color indexed="81"/>
            <rFont val="Tahoma"/>
            <family val="2"/>
          </rPr>
          <t>,A2,</t>
        </r>
        <r>
          <rPr>
            <b/>
            <sz val="9"/>
            <color indexed="81"/>
            <rFont val="돋움"/>
            <family val="3"/>
            <charset val="129"/>
          </rPr>
          <t>레이븐
제외하면</t>
        </r>
        <r>
          <rPr>
            <b/>
            <sz val="9"/>
            <color indexed="81"/>
            <rFont val="Tahoma"/>
            <family val="2"/>
          </rPr>
          <t xml:space="preserve"> </t>
        </r>
        <r>
          <rPr>
            <b/>
            <sz val="9"/>
            <color indexed="81"/>
            <rFont val="돋움"/>
            <family val="3"/>
            <charset val="129"/>
          </rPr>
          <t>모두</t>
        </r>
        <r>
          <rPr>
            <b/>
            <sz val="9"/>
            <color indexed="81"/>
            <rFont val="Tahoma"/>
            <family val="2"/>
          </rPr>
          <t xml:space="preserve"> </t>
        </r>
        <r>
          <rPr>
            <b/>
            <sz val="9"/>
            <color indexed="81"/>
            <rFont val="돋움"/>
            <family val="3"/>
            <charset val="129"/>
          </rPr>
          <t>기본</t>
        </r>
      </text>
    </comment>
    <comment ref="B26" authorId="0" shapeId="0" xr:uid="{69EB0D2C-7CB1-4B0B-832B-2DF33D6C4954}">
      <text>
        <r>
          <rPr>
            <b/>
            <sz val="9"/>
            <color indexed="81"/>
            <rFont val="Tahoma"/>
            <family val="2"/>
          </rPr>
          <t>1+</t>
        </r>
        <r>
          <rPr>
            <b/>
            <sz val="9"/>
            <color indexed="81"/>
            <rFont val="돋움"/>
            <family val="3"/>
            <charset val="129"/>
          </rPr>
          <t>풀버</t>
        </r>
        <r>
          <rPr>
            <b/>
            <sz val="9"/>
            <color indexed="81"/>
            <rFont val="Tahoma"/>
            <family val="2"/>
          </rPr>
          <t>+</t>
        </r>
        <r>
          <rPr>
            <b/>
            <sz val="9"/>
            <color indexed="81"/>
            <rFont val="돋움"/>
            <family val="3"/>
            <charset val="129"/>
          </rPr>
          <t>크확</t>
        </r>
        <r>
          <rPr>
            <b/>
            <sz val="9"/>
            <color indexed="81"/>
            <rFont val="Tahoma"/>
            <family val="2"/>
          </rPr>
          <t>*</t>
        </r>
        <r>
          <rPr>
            <b/>
            <sz val="9"/>
            <color indexed="81"/>
            <rFont val="돋움"/>
            <family val="3"/>
            <charset val="129"/>
          </rPr>
          <t>크댐</t>
        </r>
        <r>
          <rPr>
            <b/>
            <sz val="9"/>
            <color indexed="81"/>
            <rFont val="Tahoma"/>
            <family val="2"/>
          </rPr>
          <t>+</t>
        </r>
        <r>
          <rPr>
            <b/>
            <sz val="9"/>
            <color indexed="81"/>
            <rFont val="돋움"/>
            <family val="3"/>
            <charset val="129"/>
          </rPr>
          <t>코댐</t>
        </r>
        <r>
          <rPr>
            <b/>
            <sz val="9"/>
            <color indexed="81"/>
            <rFont val="Tahoma"/>
            <family val="2"/>
          </rPr>
          <t>+</t>
        </r>
        <r>
          <rPr>
            <b/>
            <sz val="9"/>
            <color indexed="81"/>
            <rFont val="돋움"/>
            <family val="3"/>
            <charset val="129"/>
          </rPr>
          <t>거리</t>
        </r>
      </text>
    </comment>
    <comment ref="B28" authorId="0" shapeId="0" xr:uid="{FA85EAE8-0659-4528-8910-93AF5218B15F}">
      <text>
        <r>
          <rPr>
            <b/>
            <sz val="9"/>
            <color indexed="81"/>
            <rFont val="Tahoma"/>
            <family val="2"/>
          </rPr>
          <t>1+</t>
        </r>
        <r>
          <rPr>
            <b/>
            <sz val="9"/>
            <color indexed="81"/>
            <rFont val="돋움"/>
            <family val="3"/>
            <charset val="129"/>
          </rPr>
          <t>풀버</t>
        </r>
        <r>
          <rPr>
            <b/>
            <sz val="9"/>
            <color indexed="81"/>
            <rFont val="Tahoma"/>
            <family val="2"/>
          </rPr>
          <t>+</t>
        </r>
        <r>
          <rPr>
            <b/>
            <sz val="9"/>
            <color indexed="81"/>
            <rFont val="돋움"/>
            <family val="3"/>
            <charset val="129"/>
          </rPr>
          <t>크확</t>
        </r>
        <r>
          <rPr>
            <b/>
            <sz val="9"/>
            <color indexed="81"/>
            <rFont val="Tahoma"/>
            <family val="2"/>
          </rPr>
          <t>*</t>
        </r>
        <r>
          <rPr>
            <b/>
            <sz val="9"/>
            <color indexed="81"/>
            <rFont val="돋움"/>
            <family val="3"/>
            <charset val="129"/>
          </rPr>
          <t>크댐</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정현준</author>
  </authors>
  <commentList>
    <comment ref="C33" authorId="0" shapeId="0" xr:uid="{67902722-DB56-4799-ABFA-B994C612D055}">
      <text>
        <r>
          <rPr>
            <b/>
            <sz val="9"/>
            <color indexed="81"/>
            <rFont val="돋움"/>
            <family val="3"/>
            <charset val="129"/>
          </rPr>
          <t>소장품</t>
        </r>
        <r>
          <rPr>
            <b/>
            <sz val="9"/>
            <color indexed="81"/>
            <rFont val="Tahoma"/>
            <family val="2"/>
          </rPr>
          <t>15</t>
        </r>
      </text>
    </comment>
    <comment ref="C37" authorId="0" shapeId="0" xr:uid="{BA22C5B1-5CA2-4DA5-91A9-9F4DEA67936D}">
      <text>
        <r>
          <rPr>
            <b/>
            <sz val="9"/>
            <color indexed="81"/>
            <rFont val="돋움"/>
            <family val="3"/>
            <charset val="129"/>
          </rPr>
          <t>큐브</t>
        </r>
        <r>
          <rPr>
            <b/>
            <sz val="9"/>
            <color indexed="81"/>
            <rFont val="Tahoma"/>
            <family val="2"/>
          </rPr>
          <t>15</t>
        </r>
      </text>
    </comment>
    <comment ref="C41" authorId="0" shapeId="0" xr:uid="{0E5D499C-FE25-4168-A919-7BB1F0551226}">
      <text>
        <r>
          <rPr>
            <b/>
            <sz val="9"/>
            <color indexed="81"/>
            <rFont val="돋움"/>
            <family val="3"/>
            <charset val="129"/>
          </rPr>
          <t>소장품</t>
        </r>
        <r>
          <rPr>
            <b/>
            <sz val="9"/>
            <color indexed="81"/>
            <rFont val="Tahoma"/>
            <family val="2"/>
          </rPr>
          <t>15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정현준</author>
  </authors>
  <commentList>
    <comment ref="B62" authorId="0" shapeId="0" xr:uid="{F6806727-4F22-4221-940E-31542D304794}">
      <text>
        <r>
          <rPr>
            <b/>
            <sz val="9"/>
            <color indexed="81"/>
            <rFont val="돋움"/>
            <family val="3"/>
            <charset val="129"/>
          </rPr>
          <t>특이한무기</t>
        </r>
        <r>
          <rPr>
            <b/>
            <sz val="9"/>
            <color indexed="81"/>
            <rFont val="Tahoma"/>
            <family val="2"/>
          </rPr>
          <t xml:space="preserve"> </t>
        </r>
        <r>
          <rPr>
            <b/>
            <sz val="9"/>
            <color indexed="81"/>
            <rFont val="돋움"/>
            <family val="3"/>
            <charset val="129"/>
          </rPr>
          <t>여기서</t>
        </r>
        <r>
          <rPr>
            <b/>
            <sz val="9"/>
            <color indexed="81"/>
            <rFont val="Tahoma"/>
            <family val="2"/>
          </rPr>
          <t xml:space="preserve"> </t>
        </r>
        <r>
          <rPr>
            <b/>
            <sz val="9"/>
            <color indexed="81"/>
            <rFont val="돋움"/>
            <family val="3"/>
            <charset val="129"/>
          </rPr>
          <t>처리함</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<sst xmlns="http://schemas.openxmlformats.org/spreadsheetml/2006/main" count="2888" uniqueCount="501">
  <si>
    <t>그레이브</t>
    <phoneticPr fontId="2" type="noConversion"/>
  </si>
  <si>
    <t>바이드</t>
    <phoneticPr fontId="2" type="noConversion"/>
  </si>
  <si>
    <t>나유타</t>
    <phoneticPr fontId="2" type="noConversion"/>
  </si>
  <si>
    <t>크라운</t>
    <phoneticPr fontId="2" type="noConversion"/>
  </si>
  <si>
    <t>브리드</t>
    <phoneticPr fontId="2" type="noConversion"/>
  </si>
  <si>
    <t>스킬</t>
    <phoneticPr fontId="2" type="noConversion"/>
  </si>
  <si>
    <t>흑련(앨)</t>
    <phoneticPr fontId="2" type="noConversion"/>
  </si>
  <si>
    <t>신데렐라</t>
    <phoneticPr fontId="2" type="noConversion"/>
  </si>
  <si>
    <t>클이든</t>
    <phoneticPr fontId="2" type="noConversion"/>
  </si>
  <si>
    <t>수니스</t>
    <phoneticPr fontId="2" type="noConversion"/>
  </si>
  <si>
    <t>에이다</t>
    <phoneticPr fontId="2" type="noConversion"/>
  </si>
  <si>
    <t>메프바</t>
    <phoneticPr fontId="2" type="noConversion"/>
  </si>
  <si>
    <t>질</t>
    <phoneticPr fontId="2" type="noConversion"/>
  </si>
  <si>
    <t>길로틴</t>
    <phoneticPr fontId="2" type="noConversion"/>
  </si>
  <si>
    <t>케이</t>
    <phoneticPr fontId="2" type="noConversion"/>
  </si>
  <si>
    <t>랩쳐 정보</t>
    <phoneticPr fontId="2" type="noConversion"/>
  </si>
  <si>
    <t>조합</t>
    <phoneticPr fontId="2" type="noConversion"/>
  </si>
  <si>
    <t>대미지 유형별 딜량 (10+10초)</t>
    <phoneticPr fontId="2" type="noConversion"/>
  </si>
  <si>
    <t>방어력 (31,784)</t>
    <phoneticPr fontId="2" type="noConversion"/>
  </si>
  <si>
    <t>딜러</t>
  </si>
  <si>
    <t>서포터1</t>
  </si>
  <si>
    <t>서포터2</t>
  </si>
  <si>
    <t>서포터3</t>
  </si>
  <si>
    <t>서포터4</t>
  </si>
  <si>
    <t>일반공격</t>
    <phoneticPr fontId="2" type="noConversion"/>
  </si>
  <si>
    <t>총딜량</t>
    <phoneticPr fontId="2" type="noConversion"/>
  </si>
  <si>
    <t>사이클 수</t>
    <phoneticPr fontId="2" type="noConversion"/>
  </si>
  <si>
    <t>사이클 시간</t>
    <phoneticPr fontId="2" type="noConversion"/>
  </si>
  <si>
    <t>버충시간</t>
    <phoneticPr fontId="2" type="noConversion"/>
  </si>
  <si>
    <t>코어여부(노코0~상코1)</t>
    <phoneticPr fontId="2" type="noConversion"/>
  </si>
  <si>
    <t>니케</t>
  </si>
  <si>
    <t>라피</t>
    <phoneticPr fontId="2" type="noConversion"/>
  </si>
  <si>
    <t>세이렌</t>
    <phoneticPr fontId="2" type="noConversion"/>
  </si>
  <si>
    <t>헬름</t>
    <phoneticPr fontId="2" type="noConversion"/>
  </si>
  <si>
    <t>바소다</t>
    <phoneticPr fontId="2" type="noConversion"/>
  </si>
  <si>
    <t>파츠코어여부(0or1)</t>
    <phoneticPr fontId="2" type="noConversion"/>
  </si>
  <si>
    <t>클래스</t>
  </si>
  <si>
    <t>느린 버충</t>
    <phoneticPr fontId="2" type="noConversion"/>
  </si>
  <si>
    <t>코어픽셀수(계산방식검토필요)</t>
    <phoneticPr fontId="2" type="noConversion"/>
  </si>
  <si>
    <t>무기</t>
    <phoneticPr fontId="2" type="noConversion"/>
  </si>
  <si>
    <t>13번째 버스트 완료</t>
    <phoneticPr fontId="2" type="noConversion"/>
  </si>
  <si>
    <t>코어히트율(0-100%)</t>
    <phoneticPr fontId="2" type="noConversion"/>
  </si>
  <si>
    <t>공격력</t>
    <phoneticPr fontId="2" type="noConversion"/>
  </si>
  <si>
    <t>버스트 사이클 횟수별 딜량</t>
    <phoneticPr fontId="2" type="noConversion"/>
  </si>
  <si>
    <t>14번째 버스트 시전</t>
    <phoneticPr fontId="2" type="noConversion"/>
  </si>
  <si>
    <t>적정거리여부(0or1)</t>
    <phoneticPr fontId="2" type="noConversion"/>
  </si>
  <si>
    <t>체력</t>
    <phoneticPr fontId="2" type="noConversion"/>
  </si>
  <si>
    <t>6사이클</t>
    <phoneticPr fontId="2" type="noConversion"/>
  </si>
  <si>
    <t>6.5사이클(선)</t>
    <phoneticPr fontId="2" type="noConversion"/>
  </si>
  <si>
    <t>6.5사이클(후)</t>
    <phoneticPr fontId="2" type="noConversion"/>
  </si>
  <si>
    <t>7사이클</t>
    <phoneticPr fontId="2" type="noConversion"/>
  </si>
  <si>
    <t>14번째 버스트 완료</t>
    <phoneticPr fontId="2" type="noConversion"/>
  </si>
  <si>
    <t>우월코드여부(0or1)</t>
    <phoneticPr fontId="2" type="noConversion"/>
  </si>
  <si>
    <t>방어력</t>
    <phoneticPr fontId="2" type="noConversion"/>
  </si>
  <si>
    <t>주의: 스택형 스킬의 초반 딜로스는 고려하지 않음</t>
    <phoneticPr fontId="2" type="noConversion"/>
  </si>
  <si>
    <t>아르카나-루주 (8번째 아르카나 버스트만 완료)</t>
    <phoneticPr fontId="2" type="noConversion"/>
  </si>
  <si>
    <t>계산방식</t>
    <phoneticPr fontId="2" type="noConversion"/>
  </si>
  <si>
    <t>아르카나-루주 (15번째 버스트 시전)</t>
    <phoneticPr fontId="2" type="noConversion"/>
  </si>
  <si>
    <t>탄창고려(탄창계산기따로만들필요있음)</t>
    <phoneticPr fontId="2" type="noConversion"/>
  </si>
  <si>
    <t>버스트사용딜</t>
    <phoneticPr fontId="2" type="noConversion"/>
  </si>
  <si>
    <t>버스트추가딜</t>
    <phoneticPr fontId="2" type="noConversion"/>
  </si>
  <si>
    <t>대미지1</t>
    <phoneticPr fontId="2" type="noConversion"/>
  </si>
  <si>
    <t>대미지2</t>
    <phoneticPr fontId="2" type="noConversion"/>
  </si>
  <si>
    <t>대미지3</t>
    <phoneticPr fontId="2" type="noConversion"/>
  </si>
  <si>
    <t>대미지4</t>
    <phoneticPr fontId="2" type="noConversion"/>
  </si>
  <si>
    <t>버스트종료후</t>
    <phoneticPr fontId="2" type="noConversion"/>
  </si>
  <si>
    <t>합</t>
    <phoneticPr fontId="2" type="noConversion"/>
  </si>
  <si>
    <t>비율</t>
    <phoneticPr fontId="2" type="noConversion"/>
  </si>
  <si>
    <t>아르카나-세이렌</t>
    <phoneticPr fontId="2" type="noConversion"/>
  </si>
  <si>
    <t>차속계산(0or1)</t>
    <phoneticPr fontId="2" type="noConversion"/>
  </si>
  <si>
    <t>아르카나-세이렌 이론</t>
    <phoneticPr fontId="2" type="noConversion"/>
  </si>
  <si>
    <t>버충시간고려(기본3.85)</t>
    <phoneticPr fontId="2" type="noConversion"/>
  </si>
  <si>
    <t>본인버스트</t>
    <phoneticPr fontId="2" type="noConversion"/>
  </si>
  <si>
    <t>선버0/후버1</t>
    <phoneticPr fontId="2" type="noConversion"/>
  </si>
  <si>
    <t>타인버스트</t>
    <phoneticPr fontId="2" type="noConversion"/>
  </si>
  <si>
    <t>(1사이클)</t>
    <phoneticPr fontId="2" type="noConversion"/>
  </si>
  <si>
    <t>딜러 장비옵션</t>
    <phoneticPr fontId="2" type="noConversion"/>
  </si>
  <si>
    <t>(7사이클)</t>
    <phoneticPr fontId="2" type="noConversion"/>
  </si>
  <si>
    <t>우월코드 대미지</t>
    <phoneticPr fontId="2" type="noConversion"/>
  </si>
  <si>
    <t>최대 장탄 수</t>
    <phoneticPr fontId="2" type="noConversion"/>
  </si>
  <si>
    <t>크리티컬 확률</t>
    <phoneticPr fontId="2" type="noConversion"/>
  </si>
  <si>
    <t>크리티컬 대미지</t>
    <phoneticPr fontId="2" type="noConversion"/>
  </si>
  <si>
    <t>차지 대미지</t>
    <phoneticPr fontId="2" type="noConversion"/>
  </si>
  <si>
    <t>차지 속도</t>
    <phoneticPr fontId="2" type="noConversion"/>
  </si>
  <si>
    <t>명중률</t>
    <phoneticPr fontId="2" type="noConversion"/>
  </si>
  <si>
    <t>소장품/돌파&amp;코어강화/큐브/장비4종/콘솔</t>
  </si>
  <si>
    <t>스킬은내비두</t>
  </si>
  <si>
    <t>소장품 배율 문제 해결</t>
  </si>
  <si>
    <t>샷건코힛율</t>
    <phoneticPr fontId="2" type="noConversion"/>
  </si>
  <si>
    <t>조사 필요</t>
    <phoneticPr fontId="2" type="noConversion"/>
  </si>
  <si>
    <t>SG</t>
    <phoneticPr fontId="2" type="noConversion"/>
  </si>
  <si>
    <t>d=-2.14x+240</t>
    <phoneticPr fontId="2" type="noConversion"/>
  </si>
  <si>
    <t>코어직경=c</t>
    <phoneticPr fontId="2" type="noConversion"/>
  </si>
  <si>
    <t>코힛률=c2/d2</t>
    <phoneticPr fontId="2" type="noConversion"/>
  </si>
  <si>
    <t>SMG</t>
    <phoneticPr fontId="2" type="noConversion"/>
  </si>
  <si>
    <t>d=-1x+110</t>
    <phoneticPr fontId="2" type="noConversion"/>
  </si>
  <si>
    <t>AR</t>
    <phoneticPr fontId="2" type="noConversion"/>
  </si>
  <si>
    <t>d=-0.69x+76</t>
    <phoneticPr fontId="2" type="noConversion"/>
  </si>
  <si>
    <t>https://arca.live/b/nikketgv/96243965</t>
  </si>
  <si>
    <t>관계식 알아보기</t>
    <phoneticPr fontId="2" type="noConversion"/>
  </si>
  <si>
    <t>장탄/탄창/재장 딜량 보정</t>
    <phoneticPr fontId="2" type="noConversion"/>
  </si>
  <si>
    <t>&gt;&gt; 재장전시간/탄환소모시간 비율 계산해서 평타 횟수 보정</t>
    <phoneticPr fontId="2" type="noConversion"/>
  </si>
  <si>
    <t>풀버스트 10초간 재장전을 하지 않는 경우에는 의미가 없음 (재장전 컨을 한다는 가정에)</t>
    <phoneticPr fontId="2" type="noConversion"/>
  </si>
  <si>
    <t>AR,SMG 같은 경우에는 유의미할수도</t>
    <phoneticPr fontId="2" type="noConversion"/>
  </si>
  <si>
    <t>장탄고려보정</t>
  </si>
  <si>
    <t>공격시간/(공격시간+재장시간)</t>
  </si>
  <si>
    <t>공격시간</t>
  </si>
  <si>
    <t>장탄/(기본공속(1+공속증가))</t>
  </si>
  <si>
    <t>px_c</t>
  </si>
  <si>
    <t>재장시간</t>
  </si>
  <si>
    <t>재장*(1-재장속)+예열</t>
  </si>
  <si>
    <t>px_g_0</t>
  </si>
  <si>
    <t>px_g_grad</t>
  </si>
  <si>
    <t>SG</t>
  </si>
  <si>
    <t>px_g</t>
  </si>
  <si>
    <t>px_c/px_g</t>
  </si>
  <si>
    <t>core rate</t>
  </si>
  <si>
    <t>댐증효율</t>
  </si>
  <si>
    <t>AR</t>
  </si>
  <si>
    <t>탄착군 px</t>
  </si>
  <si>
    <t>탄착군/코어</t>
  </si>
  <si>
    <t>효율/grad</t>
  </si>
  <si>
    <t>?</t>
  </si>
  <si>
    <t>코어 크기</t>
  </si>
  <si>
    <t>그냥비</t>
  </si>
  <si>
    <t>제곱비</t>
  </si>
  <si>
    <t>수로시</t>
  </si>
  <si>
    <t>이사벨</t>
  </si>
  <si>
    <t>누아르</t>
  </si>
  <si>
    <t>드레이크</t>
  </si>
  <si>
    <t>이브</t>
  </si>
  <si>
    <t>그레이브</t>
  </si>
  <si>
    <t>리타</t>
  </si>
  <si>
    <t>서포터목록</t>
    <phoneticPr fontId="2" type="noConversion"/>
  </si>
  <si>
    <t>주의사항</t>
    <phoneticPr fontId="2" type="noConversion"/>
  </si>
  <si>
    <t>딜러목록</t>
    <phoneticPr fontId="2" type="noConversion"/>
  </si>
  <si>
    <t>앨리스가 있다고 가정</t>
    <phoneticPr fontId="2" type="noConversion"/>
  </si>
  <si>
    <t>애장품 기준, 토템</t>
    <phoneticPr fontId="2" type="noConversion"/>
  </si>
  <si>
    <t>미란다2스 1발 크확 적용</t>
    <phoneticPr fontId="2" type="noConversion"/>
  </si>
  <si>
    <t>선버스트 사용, 앵커와 함께 조합 가정</t>
    <phoneticPr fontId="2" type="noConversion"/>
  </si>
  <si>
    <t>후버스트 사용, 이지스와 함께 조합 가정 (실제로 함께조합 아니어도 딜버프에는 영향 없음)</t>
    <phoneticPr fontId="2" type="noConversion"/>
  </si>
  <si>
    <t>35발</t>
  </si>
  <si>
    <t>777와 조합</t>
    <phoneticPr fontId="2" type="noConversion"/>
  </si>
  <si>
    <t>토템(777시너지와 샷건버프는 버스트에만 있어서 토템이면 조합 상관 없음)</t>
    <phoneticPr fontId="2" type="noConversion"/>
  </si>
  <si>
    <t>체력 50% 이하</t>
    <phoneticPr fontId="2" type="noConversion"/>
  </si>
  <si>
    <t>토템</t>
    <phoneticPr fontId="2" type="noConversion"/>
  </si>
  <si>
    <t>버스트 사용</t>
    <phoneticPr fontId="2" type="noConversion"/>
  </si>
  <si>
    <t>샷건 버프 적용</t>
    <phoneticPr fontId="2" type="noConversion"/>
  </si>
  <si>
    <t>샷건 버프 적용, 애장품 기준</t>
    <phoneticPr fontId="2" type="noConversion"/>
  </si>
  <si>
    <t>이사벨에만 적용 버프, 트릭: 자버후반은 시공증 -9999% (다른 서포터의 버프 지속 시간 문제 있음)</t>
    <phoneticPr fontId="2" type="noConversion"/>
  </si>
  <si>
    <t>아사벨과 함꼐 사용했을 때 다른 딜러에게 들어가는 버프, 트릭: 타버후반은 시공증 -9999%</t>
    <phoneticPr fontId="2" type="noConversion"/>
  </si>
  <si>
    <t>전격 버프 적용</t>
    <phoneticPr fontId="2" type="noConversion"/>
  </si>
  <si>
    <t>전격 버프 적용, 토템</t>
    <phoneticPr fontId="2" type="noConversion"/>
  </si>
  <si>
    <t>20초마다 버스트 사용, 홍련에게 적용되는 버프</t>
    <phoneticPr fontId="2" type="noConversion"/>
  </si>
  <si>
    <t>홍련 버스트 때만 버스트 사용, 홍련에게 적용되는 버프</t>
    <phoneticPr fontId="2" type="noConversion"/>
  </si>
  <si>
    <t>20초마다 버스트, 홍련 아닌 딜러에게 적용되는 버프</t>
    <phoneticPr fontId="2" type="noConversion"/>
  </si>
  <si>
    <t>40초(타버)마다 버스트</t>
    <phoneticPr fontId="2" type="noConversion"/>
  </si>
  <si>
    <t>애장. 2스 1발 버프는 제외 (딜러를 따로 만들기)</t>
    <phoneticPr fontId="2" type="noConversion"/>
  </si>
  <si>
    <t>분배</t>
    <phoneticPr fontId="2" type="noConversion"/>
  </si>
  <si>
    <t>평타</t>
    <phoneticPr fontId="2" type="noConversion"/>
  </si>
  <si>
    <t>공격횟수/10초</t>
  </si>
  <si>
    <t>알려진 값들</t>
    <phoneticPr fontId="2" type="noConversion"/>
  </si>
  <si>
    <t>기본탄착군</t>
    <phoneticPr fontId="2" type="noConversion"/>
  </si>
  <si>
    <t>비고</t>
    <phoneticPr fontId="2" type="noConversion"/>
  </si>
  <si>
    <t>120, 111</t>
    <phoneticPr fontId="2" type="noConversion"/>
  </si>
  <si>
    <t>기준</t>
    <phoneticPr fontId="2" type="noConversion"/>
  </si>
  <si>
    <t>화력형</t>
    <phoneticPr fontId="2" type="noConversion"/>
  </si>
  <si>
    <t>지원형</t>
    <phoneticPr fontId="2" type="noConversion"/>
  </si>
  <si>
    <t>방어형</t>
    <phoneticPr fontId="2" type="noConversion"/>
  </si>
  <si>
    <t>기본</t>
    <phoneticPr fontId="2" type="noConversion"/>
  </si>
  <si>
    <t>200, 133</t>
    <phoneticPr fontId="2" type="noConversion"/>
  </si>
  <si>
    <t>MG</t>
    <phoneticPr fontId="2" type="noConversion"/>
  </si>
  <si>
    <t>520, 550, 600</t>
    <phoneticPr fontId="2" type="noConversion"/>
  </si>
  <si>
    <t>예열 2.25초~47발(https://gall.dcinside.com/mgallery/board/view/?id=gov&amp;no=3047564), 편하게 계산하려면 1.5초 예열 0발, 재장전시간 짧으면 예열 줄어듬</t>
    <phoneticPr fontId="2" type="noConversion"/>
  </si>
  <si>
    <t>RL</t>
    <phoneticPr fontId="2" type="noConversion"/>
  </si>
  <si>
    <t>8.13, 8.23</t>
    <phoneticPr fontId="2" type="noConversion"/>
  </si>
  <si>
    <t>SR</t>
    <phoneticPr fontId="2" type="noConversion"/>
  </si>
  <si>
    <t>특수무기</t>
    <phoneticPr fontId="2" type="noConversion"/>
  </si>
  <si>
    <t>라피유탄</t>
    <phoneticPr fontId="2" type="noConversion"/>
  </si>
  <si>
    <t>수로시섬광SG</t>
  </si>
  <si>
    <t>명중률만 고려하면 35.1인데 관통범위가 어느정도인지 모름. 관통범위 픽셀수를 빼야함</t>
    <phoneticPr fontId="2" type="noConversion"/>
  </si>
  <si>
    <t>큐브15</t>
    <phoneticPr fontId="2" type="noConversion"/>
  </si>
  <si>
    <t>소장품15</t>
    <phoneticPr fontId="2" type="noConversion"/>
  </si>
  <si>
    <t>콘솔180/100</t>
    <phoneticPr fontId="2" type="noConversion"/>
  </si>
  <si>
    <t>호감도30</t>
    <phoneticPr fontId="2" type="noConversion"/>
  </si>
  <si>
    <t>뚝5</t>
    <phoneticPr fontId="2" type="noConversion"/>
  </si>
  <si>
    <t>장5</t>
    <phoneticPr fontId="2" type="noConversion"/>
  </si>
  <si>
    <t>0.23, 0.215</t>
    <phoneticPr fontId="2" type="noConversion"/>
  </si>
  <si>
    <t>갑5</t>
    <phoneticPr fontId="2" type="noConversion"/>
  </si>
  <si>
    <t>신5</t>
    <phoneticPr fontId="2" type="noConversion"/>
  </si>
  <si>
    <t>지금은 이용 안 하지만 나중엔 사용할수도?</t>
    <phoneticPr fontId="2" type="noConversion"/>
  </si>
  <si>
    <t>돌파</t>
  </si>
  <si>
    <t>코어강화</t>
  </si>
  <si>
    <t>호감도</t>
    <phoneticPr fontId="2" type="noConversion"/>
  </si>
  <si>
    <t>뚝</t>
  </si>
  <si>
    <t>장</t>
  </si>
  <si>
    <t>갑</t>
  </si>
  <si>
    <t>신</t>
  </si>
  <si>
    <t>소장품</t>
  </si>
  <si>
    <t>큐브</t>
  </si>
  <si>
    <t>기업콘솔</t>
  </si>
  <si>
    <t>클래스콘솔</t>
  </si>
  <si>
    <t>기본콘솔</t>
    <phoneticPr fontId="2" type="noConversion"/>
  </si>
  <si>
    <t>버스트시전</t>
    <phoneticPr fontId="2" type="noConversion"/>
  </si>
  <si>
    <t>자버초반</t>
    <phoneticPr fontId="2" type="noConversion"/>
  </si>
  <si>
    <t>자버후반</t>
    <phoneticPr fontId="2" type="noConversion"/>
  </si>
  <si>
    <t>자버이후</t>
    <phoneticPr fontId="2" type="noConversion"/>
  </si>
  <si>
    <t>타버초반</t>
    <phoneticPr fontId="2" type="noConversion"/>
  </si>
  <si>
    <t>타버후반</t>
    <phoneticPr fontId="2" type="noConversion"/>
  </si>
  <si>
    <t>딜러데이터(스킬)</t>
    <phoneticPr fontId="2" type="noConversion"/>
  </si>
  <si>
    <t>풀버스트후</t>
    <phoneticPr fontId="2" type="noConversion"/>
  </si>
  <si>
    <t>버프요약(버프)</t>
    <phoneticPr fontId="2" type="noConversion"/>
  </si>
  <si>
    <t>계산요약(on/off)</t>
    <phoneticPr fontId="2" type="noConversion"/>
  </si>
  <si>
    <t>대미지</t>
    <phoneticPr fontId="2" type="noConversion"/>
  </si>
  <si>
    <t>본인 풀버 직전</t>
    <phoneticPr fontId="2" type="noConversion"/>
  </si>
  <si>
    <t>본인 풀버 시</t>
    <phoneticPr fontId="2" type="noConversion"/>
  </si>
  <si>
    <t>본인 풀버 전반</t>
    <phoneticPr fontId="2" type="noConversion"/>
  </si>
  <si>
    <t>본인 풀버 후반</t>
    <phoneticPr fontId="2" type="noConversion"/>
  </si>
  <si>
    <t>본인 풀버 이후</t>
    <phoneticPr fontId="2" type="noConversion"/>
  </si>
  <si>
    <t>타인 풀버 초반</t>
    <phoneticPr fontId="2" type="noConversion"/>
  </si>
  <si>
    <t>타인 풀버 후반</t>
    <phoneticPr fontId="2" type="noConversion"/>
  </si>
  <si>
    <t>버스트 보너스 구분, 공격횟수 때도 사용 중</t>
    <phoneticPr fontId="2" type="noConversion"/>
  </si>
  <si>
    <t>스킬index</t>
    <phoneticPr fontId="2" type="noConversion"/>
  </si>
  <si>
    <t>횟수/발수(5초)</t>
    <phoneticPr fontId="2" type="noConversion"/>
  </si>
  <si>
    <t>횟수/발수(10초)</t>
    <phoneticPr fontId="2" type="noConversion"/>
  </si>
  <si>
    <t>횟수/발수(10초, 차지)</t>
    <phoneticPr fontId="2" type="noConversion"/>
  </si>
  <si>
    <t>기본차지시간</t>
    <phoneticPr fontId="2" type="noConversion"/>
  </si>
  <si>
    <t>차지속도증가</t>
    <phoneticPr fontId="2" type="noConversion"/>
  </si>
  <si>
    <t>딜레이</t>
    <phoneticPr fontId="2" type="noConversion"/>
  </si>
  <si>
    <t>일반공격 첫줄</t>
    <phoneticPr fontId="2" type="noConversion"/>
  </si>
  <si>
    <t>대미지유형</t>
    <phoneticPr fontId="2" type="noConversion"/>
  </si>
  <si>
    <t>차지/펠렛 둘째줄</t>
    <phoneticPr fontId="2" type="noConversion"/>
  </si>
  <si>
    <t>평균한발대미지</t>
    <phoneticPr fontId="2" type="noConversion"/>
  </si>
  <si>
    <t>계산에는 사용 안 함</t>
    <phoneticPr fontId="2" type="noConversion"/>
  </si>
  <si>
    <t>한발대미지(노크리)</t>
    <phoneticPr fontId="2" type="noConversion"/>
  </si>
  <si>
    <t>계수</t>
    <phoneticPr fontId="2" type="noConversion"/>
  </si>
  <si>
    <t>아래는스킬별구분하는이유</t>
    <phoneticPr fontId="2" type="noConversion"/>
  </si>
  <si>
    <t>우월코드대미지</t>
    <phoneticPr fontId="2" type="noConversion"/>
  </si>
  <si>
    <t>방무구분</t>
    <phoneticPr fontId="2" type="noConversion"/>
  </si>
  <si>
    <t>공격력-방어력</t>
    <phoneticPr fontId="2" type="noConversion"/>
  </si>
  <si>
    <t>유형별구분</t>
    <phoneticPr fontId="2" type="noConversion"/>
  </si>
  <si>
    <t>공격유형별버프</t>
    <phoneticPr fontId="2" type="noConversion"/>
  </si>
  <si>
    <t>분배구분</t>
    <phoneticPr fontId="2" type="noConversion"/>
  </si>
  <si>
    <t>적받는대미지</t>
    <phoneticPr fontId="2" type="noConversion"/>
  </si>
  <si>
    <t>추후평타마다코어적중확률다른것다룰수있으니구분</t>
    <phoneticPr fontId="2" type="noConversion"/>
  </si>
  <si>
    <t>대미지증가계수(일반공격)</t>
    <phoneticPr fontId="2" type="noConversion"/>
  </si>
  <si>
    <t>코어히트율</t>
    <phoneticPr fontId="2" type="noConversion"/>
  </si>
  <si>
    <t>대미지증가계수(스킬)</t>
    <phoneticPr fontId="2" type="noConversion"/>
  </si>
  <si>
    <t>평타별차댐구분</t>
    <phoneticPr fontId="2" type="noConversion"/>
  </si>
  <si>
    <t>차지대미지</t>
    <phoneticPr fontId="2" type="noConversion"/>
  </si>
  <si>
    <t>기본차지대미지</t>
    <phoneticPr fontId="2" type="noConversion"/>
  </si>
  <si>
    <t>시전자기준</t>
    <phoneticPr fontId="2" type="noConversion"/>
  </si>
  <si>
    <t>서포터기준공격력</t>
  </si>
  <si>
    <t>서포터기준체력(만)</t>
    <phoneticPr fontId="2" type="noConversion"/>
  </si>
  <si>
    <t>서포터기준방어력</t>
    <phoneticPr fontId="2" type="noConversion"/>
  </si>
  <si>
    <t>공방</t>
    <phoneticPr fontId="2" type="noConversion"/>
  </si>
  <si>
    <t>공격력증가</t>
    <phoneticPr fontId="2" type="noConversion"/>
  </si>
  <si>
    <t>방어력감소</t>
    <phoneticPr fontId="2" type="noConversion"/>
  </si>
  <si>
    <t>대미지유형별버프
(파츠딜은 다루기 어려우니 패스)</t>
    <phoneticPr fontId="2" type="noConversion"/>
  </si>
  <si>
    <t>공격</t>
  </si>
  <si>
    <t>방어력무시</t>
    <phoneticPr fontId="2" type="noConversion"/>
  </si>
  <si>
    <t>관통</t>
    <phoneticPr fontId="2" type="noConversion"/>
  </si>
  <si>
    <t>지속</t>
    <phoneticPr fontId="2" type="noConversion"/>
  </si>
  <si>
    <t>발사체폭발</t>
    <phoneticPr fontId="2" type="noConversion"/>
  </si>
  <si>
    <t>발사체부착</t>
    <phoneticPr fontId="2" type="noConversion"/>
  </si>
  <si>
    <t>버스트스킬</t>
    <phoneticPr fontId="2" type="noConversion"/>
  </si>
  <si>
    <t>?</t>
    <phoneticPr fontId="2" type="noConversion"/>
  </si>
  <si>
    <t>??</t>
    <phoneticPr fontId="2" type="noConversion"/>
  </si>
  <si>
    <t>???</t>
    <phoneticPr fontId="2" type="noConversion"/>
  </si>
  <si>
    <t>분배대미지증가</t>
    <phoneticPr fontId="2" type="noConversion"/>
  </si>
  <si>
    <t>받는대미지</t>
    <phoneticPr fontId="2" type="noConversion"/>
  </si>
  <si>
    <t>받는대미지증가</t>
    <phoneticPr fontId="2" type="noConversion"/>
  </si>
  <si>
    <t>크리티컬</t>
    <phoneticPr fontId="2" type="noConversion"/>
  </si>
  <si>
    <t>크리티컬확률증가</t>
    <phoneticPr fontId="2" type="noConversion"/>
  </si>
  <si>
    <t>일반공격크리확률증가</t>
    <phoneticPr fontId="2" type="noConversion"/>
  </si>
  <si>
    <t>크리티컬대미지증가</t>
    <phoneticPr fontId="2" type="noConversion"/>
  </si>
  <si>
    <t>일반공격크리대미지증가</t>
    <phoneticPr fontId="2" type="noConversion"/>
  </si>
  <si>
    <t>일반공격기타증가</t>
    <phoneticPr fontId="2" type="noConversion"/>
  </si>
  <si>
    <t>코어대미지증가</t>
    <phoneticPr fontId="2" type="noConversion"/>
  </si>
  <si>
    <t>적정거리대미지증가</t>
    <phoneticPr fontId="2" type="noConversion"/>
  </si>
  <si>
    <t>차지</t>
    <phoneticPr fontId="2" type="noConversion"/>
  </si>
  <si>
    <t>차지대미지증가</t>
    <phoneticPr fontId="2" type="noConversion"/>
  </si>
  <si>
    <t>차지시간감소</t>
  </si>
  <si>
    <t>그외</t>
    <phoneticPr fontId="2" type="noConversion"/>
  </si>
  <si>
    <t>우월코드대미지증가</t>
    <phoneticPr fontId="2" type="noConversion"/>
  </si>
  <si>
    <t>일반공격대미지 배율</t>
  </si>
  <si>
    <t>최대체력(만)증가</t>
    <phoneticPr fontId="2" type="noConversion"/>
  </si>
  <si>
    <t>아직 계산 미포함</t>
    <phoneticPr fontId="2" type="noConversion"/>
  </si>
  <si>
    <t>방어력증가</t>
    <phoneticPr fontId="2" type="noConversion"/>
  </si>
  <si>
    <t>탄환충전</t>
    <phoneticPr fontId="2" type="noConversion"/>
  </si>
  <si>
    <t>탄환충전(발)</t>
    <phoneticPr fontId="2" type="noConversion"/>
  </si>
  <si>
    <t>최대장탄수증가</t>
    <phoneticPr fontId="2" type="noConversion"/>
  </si>
  <si>
    <t>재장전속도증가</t>
    <phoneticPr fontId="2" type="noConversion"/>
  </si>
  <si>
    <t>공격속도증가</t>
    <phoneticPr fontId="2" type="noConversion"/>
  </si>
  <si>
    <t>펠릿 개수 증가</t>
    <phoneticPr fontId="2" type="noConversion"/>
  </si>
  <si>
    <t>명중률증가</t>
    <phoneticPr fontId="2" type="noConversion"/>
  </si>
  <si>
    <t>받는대미지감소</t>
    <phoneticPr fontId="2" type="noConversion"/>
  </si>
  <si>
    <t>받는체력회복량</t>
  </si>
  <si>
    <t>버스트충전속도</t>
  </si>
  <si>
    <t>최대장탄수</t>
  </si>
  <si>
    <t>최대 적정 사거리</t>
    <phoneticPr fontId="2" type="noConversion"/>
  </si>
  <si>
    <t>파츠대미지</t>
    <phoneticPr fontId="2" type="noConversion"/>
  </si>
  <si>
    <t>저지부위공격대미지</t>
    <phoneticPr fontId="2" type="noConversion"/>
  </si>
  <si>
    <t>폭발범위</t>
    <phoneticPr fontId="2" type="noConversion"/>
  </si>
  <si>
    <t>관통범위</t>
    <phoneticPr fontId="2" type="noConversion"/>
  </si>
  <si>
    <t>버스트</t>
    <phoneticPr fontId="2" type="noConversion"/>
  </si>
  <si>
    <t>스킬2</t>
    <phoneticPr fontId="2" type="noConversion"/>
  </si>
  <si>
    <t>소&amp;장&amp;큡</t>
    <phoneticPr fontId="2" type="noConversion"/>
  </si>
  <si>
    <t>자버직전</t>
    <phoneticPr fontId="2" type="noConversion"/>
  </si>
  <si>
    <t>딜러</t>
    <phoneticPr fontId="2" type="noConversion"/>
  </si>
  <si>
    <t>서포터1</t>
    <phoneticPr fontId="2" type="noConversion"/>
  </si>
  <si>
    <t>서포터2</t>
    <phoneticPr fontId="2" type="noConversion"/>
  </si>
  <si>
    <t>서포터3</t>
    <phoneticPr fontId="2" type="noConversion"/>
  </si>
  <si>
    <t>서포터4</t>
    <phoneticPr fontId="2" type="noConversion"/>
  </si>
  <si>
    <t>자버전반</t>
    <phoneticPr fontId="2" type="noConversion"/>
  </si>
  <si>
    <t>타버전반</t>
    <phoneticPr fontId="2" type="noConversion"/>
  </si>
  <si>
    <t>합산</t>
    <phoneticPr fontId="2" type="noConversion"/>
  </si>
  <si>
    <t>탄환충전 (발수)</t>
    <phoneticPr fontId="2" type="noConversion"/>
  </si>
  <si>
    <t>받는체력회복량</t>
    <phoneticPr fontId="2" type="noConversion"/>
  </si>
  <si>
    <t>자신에게 적용되는 버프</t>
    <phoneticPr fontId="2" type="noConversion"/>
  </si>
  <si>
    <t>RL</t>
  </si>
  <si>
    <t>흑련</t>
    <phoneticPr fontId="2" type="noConversion"/>
  </si>
  <si>
    <t>방어형</t>
  </si>
  <si>
    <t>미하라</t>
    <phoneticPr fontId="2" type="noConversion"/>
  </si>
  <si>
    <t>화력형</t>
  </si>
  <si>
    <t>MG</t>
  </si>
  <si>
    <t>미하라(미)</t>
    <phoneticPr fontId="2" type="noConversion"/>
  </si>
  <si>
    <t>미하라(토템)</t>
    <phoneticPr fontId="2" type="noConversion"/>
  </si>
  <si>
    <t>수로시</t>
    <phoneticPr fontId="2" type="noConversion"/>
  </si>
  <si>
    <t>수로시(레오나)</t>
    <phoneticPr fontId="2" type="noConversion"/>
  </si>
  <si>
    <t>SR</t>
  </si>
  <si>
    <t>레드후드</t>
    <phoneticPr fontId="2" type="noConversion"/>
  </si>
  <si>
    <t>앨리스</t>
  </si>
  <si>
    <t>클루드</t>
  </si>
  <si>
    <t>수니스</t>
  </si>
  <si>
    <t>지원형</t>
  </si>
  <si>
    <t>수니스(프바)</t>
    <phoneticPr fontId="2" type="noConversion"/>
  </si>
  <si>
    <t>아인</t>
  </si>
  <si>
    <t>아인(미)</t>
    <phoneticPr fontId="2" type="noConversion"/>
  </si>
  <si>
    <t>홍련</t>
  </si>
  <si>
    <t>모더니아</t>
    <phoneticPr fontId="2" type="noConversion"/>
  </si>
  <si>
    <t>클이든(토템)</t>
    <phoneticPr fontId="2" type="noConversion"/>
  </si>
  <si>
    <t>엑시아</t>
    <phoneticPr fontId="2" type="noConversion"/>
  </si>
  <si>
    <t>메프바(레오나)</t>
    <phoneticPr fontId="2" type="noConversion"/>
  </si>
  <si>
    <t>마나</t>
  </si>
  <si>
    <t>율리아</t>
    <phoneticPr fontId="2" type="noConversion"/>
  </si>
  <si>
    <t>라플라스</t>
    <phoneticPr fontId="2" type="noConversion"/>
  </si>
  <si>
    <t>라플라스(파츠)</t>
    <phoneticPr fontId="2" type="noConversion"/>
  </si>
  <si>
    <t>이브</t>
    <phoneticPr fontId="2" type="noConversion"/>
  </si>
  <si>
    <t>레이븐</t>
    <phoneticPr fontId="2" type="noConversion"/>
  </si>
  <si>
    <t>레이븐(파츠)</t>
    <phoneticPr fontId="2" type="noConversion"/>
  </si>
  <si>
    <t>스화</t>
    <phoneticPr fontId="2" type="noConversion"/>
  </si>
  <si>
    <t>맥스웰</t>
    <phoneticPr fontId="2" type="noConversion"/>
  </si>
  <si>
    <t>바밀크</t>
    <phoneticPr fontId="2" type="noConversion"/>
  </si>
  <si>
    <t>수레그</t>
    <phoneticPr fontId="2" type="noConversion"/>
  </si>
  <si>
    <t>클드밀라</t>
    <phoneticPr fontId="2" type="noConversion"/>
  </si>
  <si>
    <t>수쿠라</t>
    <phoneticPr fontId="2" type="noConversion"/>
  </si>
  <si>
    <t>수쿠라(파츠)</t>
    <phoneticPr fontId="2" type="noConversion"/>
  </si>
  <si>
    <t>퀸시</t>
    <phoneticPr fontId="2" type="noConversion"/>
  </si>
  <si>
    <t>SMG</t>
  </si>
  <si>
    <t>팬텀</t>
    <phoneticPr fontId="2" type="noConversion"/>
  </si>
  <si>
    <t>클로틴</t>
    <phoneticPr fontId="2" type="noConversion"/>
  </si>
  <si>
    <t>브래디</t>
    <phoneticPr fontId="2" type="noConversion"/>
  </si>
  <si>
    <t>브래디(지속)</t>
    <phoneticPr fontId="2" type="noConversion"/>
  </si>
  <si>
    <t>에이다(미)</t>
    <phoneticPr fontId="2" type="noConversion"/>
  </si>
  <si>
    <t>라피(1버)</t>
    <phoneticPr fontId="2" type="noConversion"/>
  </si>
  <si>
    <t>리버</t>
    <phoneticPr fontId="2" type="noConversion"/>
  </si>
  <si>
    <t>디젤</t>
    <phoneticPr fontId="2" type="noConversion"/>
  </si>
  <si>
    <t>자버이전</t>
    <phoneticPr fontId="2" type="noConversion"/>
  </si>
  <si>
    <t>시전자기준공격력</t>
    <phoneticPr fontId="2" type="noConversion"/>
  </si>
  <si>
    <t>시전자기준체력(만)</t>
    <phoneticPr fontId="2" type="noConversion"/>
  </si>
  <si>
    <t>시전자기준방어력</t>
    <phoneticPr fontId="2" type="noConversion"/>
  </si>
  <si>
    <t>일반공격기타증가
(관통-코어 관계 알아보기. 관통일때는 코어에서 기본 +1 (몸통)?)</t>
    <phoneticPr fontId="2" type="noConversion"/>
  </si>
  <si>
    <t>딜데이터</t>
    <phoneticPr fontId="2" type="noConversion"/>
  </si>
  <si>
    <t>자버시작</t>
    <phoneticPr fontId="2" type="noConversion"/>
  </si>
  <si>
    <t>본인 버스트</t>
    <phoneticPr fontId="2" type="noConversion"/>
  </si>
  <si>
    <t>이름</t>
    <phoneticPr fontId="2" type="noConversion"/>
  </si>
  <si>
    <t>유탄부착</t>
    <phoneticPr fontId="2" type="noConversion"/>
  </si>
  <si>
    <t>유탄폭발</t>
    <phoneticPr fontId="2" type="noConversion"/>
  </si>
  <si>
    <t>3타</t>
    <phoneticPr fontId="2" type="noConversion"/>
  </si>
  <si>
    <t>6타</t>
    <phoneticPr fontId="2" type="noConversion"/>
  </si>
  <si>
    <t>9타</t>
    <phoneticPr fontId="2" type="noConversion"/>
  </si>
  <si>
    <t>버스투추가</t>
    <phoneticPr fontId="2" type="noConversion"/>
  </si>
  <si>
    <t>풀차지</t>
    <phoneticPr fontId="2" type="noConversion"/>
  </si>
  <si>
    <t>사슬감기</t>
    <phoneticPr fontId="2" type="noConversion"/>
  </si>
  <si>
    <t>사슬당기기</t>
    <phoneticPr fontId="2" type="noConversion"/>
  </si>
  <si>
    <t>일반평타</t>
    <phoneticPr fontId="2" type="noConversion"/>
  </si>
  <si>
    <t>섬광</t>
    <phoneticPr fontId="2" type="noConversion"/>
  </si>
  <si>
    <t>레드 울프</t>
    <phoneticPr fontId="2" type="noConversion"/>
  </si>
  <si>
    <t>버스트</t>
  </si>
  <si>
    <t>버스트추가</t>
  </si>
  <si>
    <t>평타</t>
  </si>
  <si>
    <t>스킬2</t>
  </si>
  <si>
    <t>스킬1</t>
  </si>
  <si>
    <t>10타</t>
  </si>
  <si>
    <t>5타</t>
  </si>
  <si>
    <t>막탄</t>
  </si>
  <si>
    <t>패더</t>
  </si>
  <si>
    <t>추댐</t>
    <phoneticPr fontId="2" type="noConversion"/>
  </si>
  <si>
    <t>더스트</t>
    <phoneticPr fontId="2" type="noConversion"/>
  </si>
  <si>
    <t>버스트추가</t>
    <phoneticPr fontId="2" type="noConversion"/>
  </si>
  <si>
    <t>30타</t>
    <phoneticPr fontId="2" type="noConversion"/>
  </si>
  <si>
    <t>마르카토</t>
    <phoneticPr fontId="2" type="noConversion"/>
  </si>
  <si>
    <t>크리카토</t>
    <phoneticPr fontId="2" type="noConversion"/>
  </si>
  <si>
    <t>버스트최초</t>
  </si>
  <si>
    <t>불안정</t>
    <phoneticPr fontId="2" type="noConversion"/>
  </si>
  <si>
    <t>쇼크웨이브</t>
    <phoneticPr fontId="2" type="noConversion"/>
  </si>
  <si>
    <t>스킬1</t>
    <phoneticPr fontId="2" type="noConversion"/>
  </si>
  <si>
    <t>빵</t>
    <phoneticPr fontId="2" type="noConversion"/>
  </si>
  <si>
    <t>땅</t>
    <phoneticPr fontId="2" type="noConversion"/>
  </si>
  <si>
    <t>구경났냐</t>
  </si>
  <si>
    <t>BOOM!</t>
    <phoneticPr fontId="2" type="noConversion"/>
  </si>
  <si>
    <t>60타</t>
    <phoneticPr fontId="2" type="noConversion"/>
  </si>
  <si>
    <t>코어60타</t>
    <phoneticPr fontId="2" type="noConversion"/>
  </si>
  <si>
    <t>순차공격</t>
    <phoneticPr fontId="2" type="noConversion"/>
  </si>
  <si>
    <t>벚꽃잎</t>
    <phoneticPr fontId="2" type="noConversion"/>
  </si>
  <si>
    <t>연장1</t>
    <phoneticPr fontId="2" type="noConversion"/>
  </si>
  <si>
    <t>연장2</t>
    <phoneticPr fontId="2" type="noConversion"/>
  </si>
  <si>
    <t>버스트평</t>
    <phoneticPr fontId="2" type="noConversion"/>
  </si>
  <si>
    <t>수류탄</t>
    <phoneticPr fontId="2" type="noConversion"/>
  </si>
  <si>
    <t>크리추가</t>
    <phoneticPr fontId="2" type="noConversion"/>
  </si>
  <si>
    <t>버스트평타</t>
    <phoneticPr fontId="2" type="noConversion"/>
  </si>
  <si>
    <t>전체</t>
    <phoneticPr fontId="2" type="noConversion"/>
  </si>
  <si>
    <t>타겟</t>
    <phoneticPr fontId="2" type="noConversion"/>
  </si>
  <si>
    <t>노래</t>
    <phoneticPr fontId="2" type="noConversion"/>
  </si>
  <si>
    <t>라라라</t>
    <phoneticPr fontId="2" type="noConversion"/>
  </si>
  <si>
    <t>기동</t>
    <phoneticPr fontId="2" type="noConversion"/>
  </si>
  <si>
    <t>전도</t>
    <phoneticPr fontId="2" type="noConversion"/>
  </si>
  <si>
    <t>발수/횟수 (10초)</t>
    <phoneticPr fontId="2" type="noConversion"/>
  </si>
  <si>
    <t>차지시간</t>
    <phoneticPr fontId="2" type="noConversion"/>
  </si>
  <si>
    <t>`</t>
    <phoneticPr fontId="2" type="noConversion"/>
  </si>
  <si>
    <t>장탄수</t>
    <phoneticPr fontId="2" type="noConversion"/>
  </si>
  <si>
    <t>재장전시간</t>
    <phoneticPr fontId="2" type="noConversion"/>
  </si>
  <si>
    <t>유형1(무기/스킬)</t>
    <phoneticPr fontId="2" type="noConversion"/>
  </si>
  <si>
    <t>스킬</t>
  </si>
  <si>
    <t>라플버스트</t>
    <phoneticPr fontId="2" type="noConversion"/>
  </si>
  <si>
    <t>유형2(RL,SR차지)</t>
    <phoneticPr fontId="2" type="noConversion"/>
  </si>
  <si>
    <t>버스트스킬</t>
  </si>
  <si>
    <t>방어력무시</t>
  </si>
  <si>
    <t>관통</t>
  </si>
  <si>
    <t>유형3(RL발사체폭발)</t>
    <phoneticPr fontId="2" type="noConversion"/>
  </si>
  <si>
    <t>유형4(풀차지)</t>
    <phoneticPr fontId="2" type="noConversion"/>
  </si>
  <si>
    <t>타수SG</t>
  </si>
  <si>
    <t>타수SG</t>
    <phoneticPr fontId="2" type="noConversion"/>
  </si>
  <si>
    <t>타인 버스트</t>
    <phoneticPr fontId="2" type="noConversion"/>
  </si>
  <si>
    <t>포획사슬</t>
    <phoneticPr fontId="2" type="noConversion"/>
  </si>
  <si>
    <t>부끄러움</t>
    <phoneticPr fontId="2" type="noConversion"/>
  </si>
  <si>
    <t>유형1(일반공격/스킬)</t>
    <phoneticPr fontId="2" type="noConversion"/>
  </si>
  <si>
    <t>유형2(RL,SR차지/SG펠렛)</t>
    <phoneticPr fontId="2" type="noConversion"/>
  </si>
  <si>
    <t>유형4</t>
    <phoneticPr fontId="2" type="noConversion"/>
  </si>
  <si>
    <t>아군에게 적용되는 버프</t>
    <phoneticPr fontId="2" type="noConversion"/>
  </si>
  <si>
    <t>세이렌(토템)</t>
    <phoneticPr fontId="2" type="noConversion"/>
  </si>
  <si>
    <t>크라운(노힐)</t>
    <phoneticPr fontId="2" type="noConversion"/>
  </si>
  <si>
    <t>크라운(노힐토템)</t>
    <phoneticPr fontId="2" type="noConversion"/>
  </si>
  <si>
    <t>마스트</t>
    <phoneticPr fontId="2" type="noConversion"/>
  </si>
  <si>
    <t>앵커</t>
    <phoneticPr fontId="2" type="noConversion"/>
  </si>
  <si>
    <t>마스트(타버)</t>
    <phoneticPr fontId="2" type="noConversion"/>
  </si>
  <si>
    <t>앵커(자버)</t>
    <phoneticPr fontId="2" type="noConversion"/>
  </si>
  <si>
    <t>리타</t>
    <phoneticPr fontId="2" type="noConversion"/>
  </si>
  <si>
    <t>볼륨</t>
    <phoneticPr fontId="2" type="noConversion"/>
  </si>
  <si>
    <t>블랑</t>
    <phoneticPr fontId="2" type="noConversion"/>
  </si>
  <si>
    <t>누아르</t>
    <phoneticPr fontId="2" type="noConversion"/>
  </si>
  <si>
    <t>루주</t>
    <phoneticPr fontId="2" type="noConversion"/>
  </si>
  <si>
    <t>레드후드(자버)</t>
    <phoneticPr fontId="2" type="noConversion"/>
  </si>
  <si>
    <t>레드후드(타버)</t>
    <phoneticPr fontId="2" type="noConversion"/>
  </si>
  <si>
    <t>나가(단독)</t>
    <phoneticPr fontId="2" type="noConversion"/>
  </si>
  <si>
    <t>나가</t>
    <phoneticPr fontId="2" type="noConversion"/>
  </si>
  <si>
    <t>티아</t>
    <phoneticPr fontId="2" type="noConversion"/>
  </si>
  <si>
    <t>나가(토템)</t>
    <phoneticPr fontId="2" type="noConversion"/>
  </si>
  <si>
    <t>은화(단독)</t>
    <phoneticPr fontId="2" type="noConversion"/>
  </si>
  <si>
    <t>은화</t>
    <phoneticPr fontId="2" type="noConversion"/>
  </si>
  <si>
    <t>엠마</t>
    <phoneticPr fontId="2" type="noConversion"/>
  </si>
  <si>
    <t>토브</t>
    <phoneticPr fontId="2" type="noConversion"/>
  </si>
  <si>
    <t>드레이크</t>
    <phoneticPr fontId="2" type="noConversion"/>
  </si>
  <si>
    <t>레오나</t>
    <phoneticPr fontId="2" type="noConversion"/>
  </si>
  <si>
    <t>아르카나(이사벨)</t>
    <phoneticPr fontId="2" type="noConversion"/>
  </si>
  <si>
    <t>아르카나(전격)</t>
    <phoneticPr fontId="2" type="noConversion"/>
  </si>
  <si>
    <t>동디(SR)</t>
    <phoneticPr fontId="2" type="noConversion"/>
  </si>
  <si>
    <t>동디</t>
    <phoneticPr fontId="2" type="noConversion"/>
  </si>
  <si>
    <t>클이든(3버)</t>
    <phoneticPr fontId="2" type="noConversion"/>
  </si>
  <si>
    <t>트리나(홍련)</t>
    <phoneticPr fontId="2" type="noConversion"/>
  </si>
  <si>
    <t>트리나(자버홍련)</t>
    <phoneticPr fontId="2" type="noConversion"/>
  </si>
  <si>
    <t>트리나</t>
    <phoneticPr fontId="2" type="noConversion"/>
  </si>
  <si>
    <t>도라(타버)</t>
    <phoneticPr fontId="2" type="noConversion"/>
  </si>
  <si>
    <t>엑시아(토템)</t>
    <phoneticPr fontId="2" type="noConversion"/>
  </si>
  <si>
    <t>미란다</t>
    <phoneticPr fontId="2" type="noConversion"/>
  </si>
  <si>
    <t>수헬름</t>
    <phoneticPr fontId="2" type="noConversion"/>
  </si>
  <si>
    <t>크라운델타</t>
    <phoneticPr fontId="2" type="noConversion"/>
  </si>
  <si>
    <t>델타크라운</t>
    <phoneticPr fontId="2" type="noConversion"/>
  </si>
  <si>
    <t>차임</t>
    <phoneticPr fontId="2" type="noConversion"/>
  </si>
  <si>
    <t>브리드(작열)</t>
    <phoneticPr fontId="2" type="noConversion"/>
  </si>
  <si>
    <t>시전자기준최대체력(만)</t>
    <phoneticPr fontId="2" type="noConversion"/>
  </si>
  <si>
    <t>베스티</t>
    <phoneticPr fontId="2" type="noConversion"/>
  </si>
  <si>
    <t>헤스화</t>
    <phoneticPr fontId="2" type="noConversion"/>
  </si>
  <si>
    <t>순차</t>
    <phoneticPr fontId="2" type="noConversion"/>
  </si>
  <si>
    <t>풀액티브</t>
    <phoneticPr fontId="2" type="noConversion"/>
  </si>
  <si>
    <t>차지</t>
  </si>
  <si>
    <t>아니스</t>
    <phoneticPr fontId="2" type="noConversion"/>
  </si>
  <si>
    <t>민트</t>
    <phoneticPr fontId="2" type="noConversion"/>
  </si>
  <si>
    <t>민프</t>
    <phoneticPr fontId="2" type="noConversion"/>
  </si>
  <si>
    <t>레포 기준: Lv400 3돌 0코강 호감30 장비T5x4 소장품SR15 큐브재장15 콘솔180/100/100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</si>
</sst>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3" formatCode="_-* #,##0.00_-;\-* #,##0.00_-;_-* &quot;-&quot;??_-;_-@_-"/>
    <numFmt numFmtId="176" formatCode="_-* #,##0_-;\-* #,##0_-;_-* &quot;-&quot;??_-;_-@_-"/>
    <numFmt numFmtId="177" formatCode="#,##0_);[Red]\(#,##0\)"/>
    <numFmt numFmtId="178" formatCode="0.0_);[Red]\(0.0\)"/>
    <numFmt numFmtId="179" formatCode="0_);[Red]\(0\)"/>
    <numFmt numFmtId="180" formatCode="0.0%"/>
    <numFmt numFmtId="181" formatCode="0.00&quot;억&quot;"/>
    <numFmt numFmtId="182" formatCode="0.00_);[Red]\(0.00\)"/>
    <numFmt numFmtId="183" formatCode="0.0000%"/>
    <numFmt numFmtId="184" formatCode="_-* #,##0.00_-;\-* #,##0.00_-;_-* &quot;-&quot;_-;_-@_-"/>
  </numFmts>
  <fonts count="22"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i/>
      <sz val="11"/>
      <color theme="1"/>
      <name val="맑은 고딕"/>
      <family val="3"/>
      <charset val="129"/>
      <scheme val="minor"/>
    </font>
    <font>
      <b/>
      <sz val="9"/>
      <color indexed="81"/>
      <name val="Tahoma"/>
      <family val="2"/>
    </font>
    <font>
      <b/>
      <sz val="9"/>
      <color indexed="81"/>
      <name val="돋움"/>
      <family val="3"/>
      <charset val="129"/>
    </font>
    <font>
      <b/>
      <i/>
      <sz val="11"/>
      <color theme="1"/>
      <name val="맑은 고딕"/>
      <family val="3"/>
      <charset val="129"/>
      <scheme val="minor"/>
    </font>
    <font>
      <b/>
      <sz val="11"/>
      <color rgb="FFC00000"/>
      <name val="맑은 고딕"/>
      <family val="3"/>
      <charset val="129"/>
      <scheme val="minor"/>
    </font>
    <font>
      <sz val="11"/>
      <color theme="0" tint="-0.249977111117893"/>
      <name val="맑은 고딕"/>
      <family val="2"/>
      <charset val="129"/>
      <scheme val="minor"/>
    </font>
    <font>
      <sz val="11"/>
      <color theme="6"/>
      <name val="맑은 고딕"/>
      <family val="2"/>
      <charset val="129"/>
      <scheme val="minor"/>
    </font>
    <font>
      <sz val="11"/>
      <color theme="6"/>
      <name val="맑은 고딕"/>
      <family val="3"/>
      <charset val="129"/>
      <scheme val="minor"/>
    </font>
    <font>
      <u/>
      <sz val="11"/>
      <color theme="10"/>
      <name val="맑은 고딕"/>
      <family val="2"/>
      <charset val="129"/>
      <scheme val="minor"/>
    </font>
    <font>
      <sz val="11"/>
      <color theme="0" tint="-0.499984740745262"/>
      <name val="맑은 고딕"/>
      <family val="2"/>
      <charset val="129"/>
      <scheme val="minor"/>
    </font>
    <font>
      <sz val="11"/>
      <color theme="2" tint="-0.249977111117893"/>
      <name val="맑은 고딕"/>
      <family val="2"/>
      <charset val="129"/>
      <scheme val="minor"/>
    </font>
    <font>
      <sz val="11"/>
      <color theme="2" tint="-0.249977111117893"/>
      <name val="맑은 고딕"/>
      <family val="3"/>
      <charset val="129"/>
      <scheme val="minor"/>
    </font>
    <font>
      <sz val="11"/>
      <color rgb="FFC00000"/>
      <name val="맑은 고딕"/>
      <family val="3"/>
      <charset val="129"/>
      <scheme val="minor"/>
    </font>
    <font>
      <b/>
      <sz val="11"/>
      <color theme="0" tint="-0.34998626667073579"/>
      <name val="맑은 고딕"/>
      <family val="3"/>
      <charset val="129"/>
      <scheme val="minor"/>
    </font>
    <font>
      <sz val="11"/>
      <color theme="0" tint="-0.34998626667073579"/>
      <name val="맑은 고딕"/>
      <family val="3"/>
      <charset val="129"/>
      <scheme val="minor"/>
    </font>
    <font>
      <sz val="11"/>
      <color rgb="FF000000"/>
      <name val="맑은 고딕"/>
      <family val="3"/>
      <charset val="129"/>
    </font>
    <font>
      <sz val="11"/>
      <color rgb="FFC00000"/>
      <name val="맑은 고딕"/>
      <family val="2"/>
      <charset val="129"/>
      <scheme val="minor"/>
    </font>
  </fonts>
  <fills count="8">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1" tint="0.499984740745262"/>
        <bgColor indexed="64"/>
      </patternFill>
    </fill>
  </fills>
  <borders count="56">
    <border>
      <left/>
      <right/>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diagonal/>
    </border>
    <border>
      <left/>
      <right style="thin">
        <color rgb="FF000000"/>
      </right>
      <top/>
      <bottom/>
      <diagonal/>
    </border>
    <border>
      <left/>
      <right style="thin">
        <color rgb="FF505050"/>
      </right>
      <top style="thin">
        <color indexed="64"/>
      </top>
      <bottom/>
      <diagonal/>
    </border>
    <border>
      <left/>
      <right style="thin">
        <color rgb="FF505050"/>
      </right>
      <top/>
      <bottom/>
      <diagonal/>
    </border>
  </borders>
  <cellStyleXfs count="4">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13" fillId="0" borderId="0" applyNumberFormat="0" applyFill="0" applyBorder="0" applyAlignment="0" applyProtection="0">
      <alignment vertical="center"/>
    </xf>
  </cellStyleXfs>
  <cellXfs count="283">
    <xf numFmtId="0" fontId="0" fillId="0" borderId="0" xfId="0">
      <alignment vertical="center"/>
    </xf>
    <xf numFmtId="9" fontId="0" fillId="0" borderId="0" xfId="2" applyFont="1">
      <alignment vertical="center"/>
    </xf>
    <xf numFmtId="41" fontId="0" fillId="0" borderId="0" xfId="1" applyFont="1">
      <alignment vertical="center"/>
    </xf>
    <xf numFmtId="9" fontId="0" fillId="0" borderId="0" xfId="0" applyNumberFormat="1">
      <alignment vertical="center"/>
    </xf>
    <xf numFmtId="10" fontId="0" fillId="0" borderId="0" xfId="0" applyNumberFormat="1">
      <alignment vertical="center"/>
    </xf>
    <xf numFmtId="43" fontId="0" fillId="0" borderId="0" xfId="0" applyNumberFormat="1">
      <alignment vertical="center"/>
    </xf>
    <xf numFmtId="41" fontId="0" fillId="0" borderId="0" xfId="0" applyNumberFormat="1">
      <alignment vertical="center"/>
    </xf>
    <xf numFmtId="0" fontId="0" fillId="0" borderId="0" xfId="2" applyNumberFormat="1" applyFont="1">
      <alignment vertical="center"/>
    </xf>
    <xf numFmtId="10" fontId="0" fillId="0" borderId="0" xfId="2" applyNumberFormat="1" applyFont="1">
      <alignment vertical="center"/>
    </xf>
    <xf numFmtId="0" fontId="3" fillId="0" borderId="0" xfId="0" applyFont="1">
      <alignment vertical="center"/>
    </xf>
    <xf numFmtId="176" fontId="3" fillId="0" borderId="0" xfId="0" applyNumberFormat="1" applyFont="1">
      <alignment vertical="center"/>
    </xf>
    <xf numFmtId="0" fontId="0" fillId="0" borderId="0" xfId="0" applyAlignment="1">
      <alignment horizontal="left" vertical="center"/>
    </xf>
    <xf numFmtId="0" fontId="4" fillId="0" borderId="0" xfId="0" applyFont="1">
      <alignment vertical="center"/>
    </xf>
    <xf numFmtId="3" fontId="0" fillId="0" borderId="0" xfId="0" applyNumberFormat="1">
      <alignment vertical="center"/>
    </xf>
    <xf numFmtId="10" fontId="0" fillId="0" borderId="0" xfId="2" applyNumberFormat="1" applyFont="1" applyBorder="1">
      <alignment vertical="center"/>
    </xf>
    <xf numFmtId="10" fontId="0" fillId="0" borderId="2" xfId="2" applyNumberFormat="1" applyFont="1" applyBorder="1">
      <alignment vertical="center"/>
    </xf>
    <xf numFmtId="10" fontId="8" fillId="0" borderId="2" xfId="2" applyNumberFormat="1" applyFont="1" applyBorder="1">
      <alignment vertical="center"/>
    </xf>
    <xf numFmtId="10" fontId="4" fillId="0" borderId="2" xfId="2" applyNumberFormat="1" applyFont="1" applyBorder="1">
      <alignment vertical="center"/>
    </xf>
    <xf numFmtId="10" fontId="8" fillId="0" borderId="4" xfId="2" applyNumberFormat="1" applyFont="1" applyBorder="1">
      <alignment vertical="center"/>
    </xf>
    <xf numFmtId="10" fontId="0" fillId="0" borderId="3" xfId="2" applyNumberFormat="1" applyFont="1" applyBorder="1">
      <alignment vertical="center"/>
    </xf>
    <xf numFmtId="10" fontId="0" fillId="0" borderId="4" xfId="2" applyNumberFormat="1" applyFont="1" applyBorder="1">
      <alignment vertical="center"/>
    </xf>
    <xf numFmtId="10" fontId="4" fillId="0" borderId="4" xfId="2" applyNumberFormat="1" applyFont="1" applyBorder="1">
      <alignment vertical="center"/>
    </xf>
    <xf numFmtId="10" fontId="4" fillId="0" borderId="0" xfId="2" applyNumberFormat="1" applyFont="1" applyAlignment="1">
      <alignment horizontal="right" vertical="center"/>
    </xf>
    <xf numFmtId="1" fontId="8" fillId="0" borderId="7" xfId="2" applyNumberFormat="1" applyFont="1" applyBorder="1" applyAlignment="1">
      <alignment horizontal="right" vertical="center"/>
    </xf>
    <xf numFmtId="10" fontId="4" fillId="0" borderId="0" xfId="2" applyNumberFormat="1" applyFont="1" applyBorder="1" applyAlignment="1">
      <alignment horizontal="right" vertical="center"/>
    </xf>
    <xf numFmtId="10" fontId="4" fillId="0" borderId="2" xfId="2" applyNumberFormat="1" applyFont="1" applyBorder="1" applyAlignment="1">
      <alignment horizontal="right" vertical="center"/>
    </xf>
    <xf numFmtId="10" fontId="4" fillId="0" borderId="9" xfId="2" applyNumberFormat="1" applyFont="1" applyBorder="1" applyAlignment="1">
      <alignment horizontal="right" vertical="center"/>
    </xf>
    <xf numFmtId="10" fontId="4" fillId="0" borderId="10" xfId="2" applyNumberFormat="1" applyFont="1" applyBorder="1" applyAlignment="1">
      <alignment horizontal="right" vertical="center"/>
    </xf>
    <xf numFmtId="10" fontId="0" fillId="0" borderId="0" xfId="2" applyNumberFormat="1" applyFont="1" applyFill="1" applyBorder="1">
      <alignment vertical="center"/>
    </xf>
    <xf numFmtId="10" fontId="0" fillId="0" borderId="2" xfId="2" applyNumberFormat="1" applyFont="1" applyFill="1" applyBorder="1">
      <alignment vertical="center"/>
    </xf>
    <xf numFmtId="0" fontId="4" fillId="0" borderId="3" xfId="2" applyNumberFormat="1" applyFont="1" applyFill="1" applyBorder="1">
      <alignment vertical="center"/>
    </xf>
    <xf numFmtId="0" fontId="0" fillId="0" borderId="2" xfId="2" applyNumberFormat="1" applyFont="1" applyBorder="1">
      <alignment vertical="center"/>
    </xf>
    <xf numFmtId="0" fontId="0" fillId="0" borderId="0" xfId="2" applyNumberFormat="1" applyFont="1" applyBorder="1">
      <alignment vertical="center"/>
    </xf>
    <xf numFmtId="0" fontId="0" fillId="3" borderId="0" xfId="2" applyNumberFormat="1" applyFont="1" applyFill="1">
      <alignment vertical="center"/>
    </xf>
    <xf numFmtId="0" fontId="0" fillId="3" borderId="2" xfId="2" applyNumberFormat="1" applyFont="1" applyFill="1" applyBorder="1">
      <alignment vertical="center"/>
    </xf>
    <xf numFmtId="0" fontId="0" fillId="3" borderId="0" xfId="2" applyNumberFormat="1" applyFont="1" applyFill="1" applyBorder="1">
      <alignment vertical="center"/>
    </xf>
    <xf numFmtId="0" fontId="4" fillId="0" borderId="4" xfId="2" applyNumberFormat="1" applyFont="1" applyFill="1" applyBorder="1">
      <alignment vertical="center"/>
    </xf>
    <xf numFmtId="0" fontId="0" fillId="0" borderId="11" xfId="2" applyNumberFormat="1" applyFont="1" applyFill="1" applyBorder="1">
      <alignment vertical="center"/>
    </xf>
    <xf numFmtId="10" fontId="4" fillId="0" borderId="12" xfId="2" applyNumberFormat="1" applyFont="1" applyFill="1" applyBorder="1" applyAlignment="1">
      <alignment horizontal="center" vertical="center"/>
    </xf>
    <xf numFmtId="0" fontId="0" fillId="0" borderId="12" xfId="2" applyNumberFormat="1" applyFont="1" applyFill="1" applyBorder="1">
      <alignment vertical="center"/>
    </xf>
    <xf numFmtId="10" fontId="0" fillId="0" borderId="13" xfId="2" applyNumberFormat="1" applyFont="1" applyBorder="1">
      <alignment vertical="center"/>
    </xf>
    <xf numFmtId="10" fontId="0" fillId="0" borderId="14" xfId="2" applyNumberFormat="1" applyFont="1" applyBorder="1">
      <alignment vertical="center"/>
    </xf>
    <xf numFmtId="0" fontId="3" fillId="0" borderId="7" xfId="1" applyNumberFormat="1" applyFont="1" applyBorder="1" applyAlignment="1">
      <alignment horizontal="left" vertical="center"/>
    </xf>
    <xf numFmtId="0" fontId="3" fillId="0" borderId="6" xfId="1" applyNumberFormat="1" applyFont="1" applyBorder="1" applyAlignment="1">
      <alignment horizontal="left" vertical="center"/>
    </xf>
    <xf numFmtId="0" fontId="0" fillId="0" borderId="3" xfId="0" applyBorder="1">
      <alignment vertical="center"/>
    </xf>
    <xf numFmtId="0" fontId="0" fillId="0" borderId="4" xfId="0" applyBorder="1">
      <alignment vertical="center"/>
    </xf>
    <xf numFmtId="0" fontId="3" fillId="0" borderId="6" xfId="0" applyFont="1" applyBorder="1" applyAlignment="1">
      <alignment horizontal="left" vertical="center"/>
    </xf>
    <xf numFmtId="0" fontId="3" fillId="0" borderId="6" xfId="2" applyNumberFormat="1" applyFont="1" applyBorder="1" applyAlignment="1">
      <alignment horizontal="left" vertical="center"/>
    </xf>
    <xf numFmtId="0" fontId="0" fillId="0" borderId="2" xfId="0" applyBorder="1">
      <alignment vertical="center"/>
    </xf>
    <xf numFmtId="10" fontId="8" fillId="0" borderId="10" xfId="2" applyNumberFormat="1" applyFont="1" applyBorder="1">
      <alignment vertical="center"/>
    </xf>
    <xf numFmtId="10" fontId="0" fillId="0" borderId="9" xfId="2" applyNumberFormat="1" applyFont="1" applyBorder="1">
      <alignment vertical="center"/>
    </xf>
    <xf numFmtId="10" fontId="0" fillId="0" borderId="10" xfId="2" applyNumberFormat="1" applyFont="1" applyBorder="1">
      <alignment vertical="center"/>
    </xf>
    <xf numFmtId="179" fontId="3" fillId="0" borderId="0" xfId="2" applyNumberFormat="1" applyFont="1" applyFill="1" applyBorder="1">
      <alignment vertical="center"/>
    </xf>
    <xf numFmtId="179" fontId="5" fillId="0" borderId="0" xfId="0" applyNumberFormat="1" applyFont="1">
      <alignment vertical="center"/>
    </xf>
    <xf numFmtId="178" fontId="5" fillId="0" borderId="0" xfId="0" applyNumberFormat="1" applyFont="1">
      <alignment vertical="center"/>
    </xf>
    <xf numFmtId="178" fontId="5" fillId="0" borderId="0" xfId="2" applyNumberFormat="1" applyFont="1" applyAlignment="1">
      <alignment horizontal="right" vertical="center"/>
    </xf>
    <xf numFmtId="178" fontId="5" fillId="0" borderId="0" xfId="2" applyNumberFormat="1" applyFont="1" applyBorder="1" applyAlignment="1">
      <alignment horizontal="right" vertical="center"/>
    </xf>
    <xf numFmtId="178" fontId="5" fillId="0" borderId="2" xfId="2" applyNumberFormat="1" applyFont="1" applyBorder="1" applyAlignment="1">
      <alignment horizontal="right" vertical="center"/>
    </xf>
    <xf numFmtId="1" fontId="5" fillId="0" borderId="0" xfId="2" applyNumberFormat="1" applyFont="1" applyBorder="1" applyAlignment="1">
      <alignment horizontal="right" vertical="center"/>
    </xf>
    <xf numFmtId="1" fontId="5" fillId="0" borderId="2" xfId="2" applyNumberFormat="1" applyFont="1" applyBorder="1" applyAlignment="1">
      <alignment horizontal="right" vertical="center"/>
    </xf>
    <xf numFmtId="10" fontId="5" fillId="0" borderId="0" xfId="2" applyNumberFormat="1" applyFont="1" applyAlignment="1">
      <alignment horizontal="right" vertical="center"/>
    </xf>
    <xf numFmtId="10" fontId="3" fillId="0" borderId="7" xfId="2" applyNumberFormat="1" applyFont="1" applyBorder="1" applyAlignment="1">
      <alignment horizontal="right" vertical="center"/>
    </xf>
    <xf numFmtId="178" fontId="8" fillId="0" borderId="7" xfId="2" applyNumberFormat="1" applyFont="1" applyBorder="1" applyAlignment="1">
      <alignment horizontal="right" vertical="center"/>
    </xf>
    <xf numFmtId="10" fontId="3" fillId="0" borderId="8" xfId="2" applyNumberFormat="1" applyFont="1" applyBorder="1" applyAlignment="1">
      <alignment horizontal="right" vertical="center"/>
    </xf>
    <xf numFmtId="177" fontId="3" fillId="0" borderId="0" xfId="0" applyNumberFormat="1" applyFont="1">
      <alignment vertical="center"/>
    </xf>
    <xf numFmtId="178" fontId="0" fillId="0" borderId="0" xfId="0" applyNumberFormat="1">
      <alignment vertical="center"/>
    </xf>
    <xf numFmtId="0" fontId="4" fillId="3" borderId="0" xfId="0" applyFont="1" applyFill="1" applyAlignment="1">
      <alignment horizontal="right" vertical="center"/>
    </xf>
    <xf numFmtId="2" fontId="4" fillId="4" borderId="0" xfId="0" applyNumberFormat="1" applyFont="1" applyFill="1">
      <alignment vertical="center"/>
    </xf>
    <xf numFmtId="0" fontId="4" fillId="4" borderId="0" xfId="0" applyFont="1" applyFill="1">
      <alignment vertical="center"/>
    </xf>
    <xf numFmtId="178" fontId="5" fillId="0" borderId="0" xfId="2" applyNumberFormat="1" applyFont="1">
      <alignment vertical="center"/>
    </xf>
    <xf numFmtId="10" fontId="4" fillId="5" borderId="0" xfId="0" applyNumberFormat="1" applyFont="1" applyFill="1">
      <alignment vertical="center"/>
    </xf>
    <xf numFmtId="9" fontId="3" fillId="5" borderId="0" xfId="2" applyFont="1" applyFill="1" applyBorder="1">
      <alignment vertical="center"/>
    </xf>
    <xf numFmtId="10" fontId="3" fillId="5" borderId="0" xfId="2" applyNumberFormat="1" applyFont="1" applyFill="1" applyBorder="1">
      <alignment vertical="center"/>
    </xf>
    <xf numFmtId="2" fontId="4" fillId="4" borderId="0" xfId="0" applyNumberFormat="1" applyFont="1" applyFill="1" applyAlignment="1">
      <alignment horizontal="center" vertical="center"/>
    </xf>
    <xf numFmtId="2" fontId="3" fillId="0" borderId="0" xfId="0" applyNumberFormat="1" applyFont="1">
      <alignment vertical="center"/>
    </xf>
    <xf numFmtId="0" fontId="3" fillId="2" borderId="0" xfId="0" applyFont="1" applyFill="1">
      <alignment vertical="center"/>
    </xf>
    <xf numFmtId="0" fontId="0" fillId="0" borderId="5" xfId="0" applyBorder="1" applyAlignment="1">
      <alignment horizontal="center" vertical="center"/>
    </xf>
    <xf numFmtId="0" fontId="3" fillId="0" borderId="5" xfId="0" applyFont="1" applyBorder="1" applyAlignment="1">
      <alignment horizontal="center" vertical="center"/>
    </xf>
    <xf numFmtId="10" fontId="3" fillId="0" borderId="0" xfId="2" applyNumberFormat="1" applyFont="1" applyBorder="1">
      <alignmen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177" fontId="0" fillId="0" borderId="1" xfId="0" applyNumberFormat="1" applyBorder="1" applyAlignment="1">
      <alignment horizontal="center" vertical="center"/>
    </xf>
    <xf numFmtId="0" fontId="0" fillId="0" borderId="28" xfId="0" applyBorder="1" applyAlignment="1">
      <alignment horizontal="center" vertical="center"/>
    </xf>
    <xf numFmtId="0" fontId="0" fillId="0" borderId="27" xfId="0" applyBorder="1">
      <alignment vertical="center"/>
    </xf>
    <xf numFmtId="10" fontId="0" fillId="0" borderId="28" xfId="2" applyNumberFormat="1" applyFont="1" applyBorder="1">
      <alignment vertical="center"/>
    </xf>
    <xf numFmtId="0" fontId="0" fillId="0" borderId="19" xfId="0" applyBorder="1">
      <alignment vertical="center"/>
    </xf>
    <xf numFmtId="10" fontId="0" fillId="0" borderId="21" xfId="2" applyNumberFormat="1" applyFont="1" applyBorder="1">
      <alignment vertical="center"/>
    </xf>
    <xf numFmtId="0" fontId="0" fillId="0" borderId="28" xfId="0" applyBorder="1">
      <alignment vertical="center"/>
    </xf>
    <xf numFmtId="0" fontId="0" fillId="0" borderId="21" xfId="0" applyBorder="1">
      <alignment vertical="center"/>
    </xf>
    <xf numFmtId="0" fontId="3" fillId="0" borderId="28" xfId="0" applyFont="1" applyBorder="1" applyAlignment="1">
      <alignment horizontal="center" vertical="center"/>
    </xf>
    <xf numFmtId="1" fontId="0" fillId="0" borderId="0" xfId="0" applyNumberFormat="1">
      <alignment vertical="center"/>
    </xf>
    <xf numFmtId="0" fontId="0" fillId="0" borderId="39" xfId="0" applyBorder="1">
      <alignment vertical="center"/>
    </xf>
    <xf numFmtId="10" fontId="0" fillId="0" borderId="31" xfId="2" applyNumberFormat="1" applyFont="1" applyBorder="1">
      <alignment vertical="center"/>
    </xf>
    <xf numFmtId="0" fontId="10" fillId="0" borderId="0" xfId="0" applyFont="1">
      <alignment vertical="center"/>
    </xf>
    <xf numFmtId="0" fontId="3" fillId="0" borderId="39" xfId="0" applyFont="1" applyBorder="1" applyAlignment="1">
      <alignment horizontal="center" vertical="center"/>
    </xf>
    <xf numFmtId="0" fontId="3" fillId="0" borderId="1" xfId="0" applyFont="1" applyBorder="1" applyAlignment="1">
      <alignment horizontal="center" vertical="center"/>
    </xf>
    <xf numFmtId="0" fontId="3" fillId="0" borderId="31" xfId="0" applyFont="1" applyBorder="1" applyAlignment="1">
      <alignment horizontal="center" vertical="center"/>
    </xf>
    <xf numFmtId="0" fontId="3" fillId="0" borderId="41" xfId="0" applyFont="1" applyBorder="1" applyAlignment="1">
      <alignment horizontal="center" vertical="center"/>
    </xf>
    <xf numFmtId="2" fontId="0" fillId="4" borderId="19" xfId="0" applyNumberFormat="1" applyFill="1" applyBorder="1" applyAlignment="1">
      <alignment horizontal="center" vertical="center"/>
    </xf>
    <xf numFmtId="2" fontId="0" fillId="4" borderId="20" xfId="0" applyNumberFormat="1" applyFill="1" applyBorder="1" applyAlignment="1">
      <alignment horizontal="center" vertical="center"/>
    </xf>
    <xf numFmtId="0" fontId="0" fillId="6" borderId="23" xfId="0" applyFill="1" applyBorder="1" applyAlignment="1">
      <alignment horizontal="center" vertical="center"/>
    </xf>
    <xf numFmtId="0" fontId="0" fillId="6" borderId="24" xfId="0" applyFill="1" applyBorder="1" applyAlignment="1">
      <alignment horizontal="center" vertical="center"/>
    </xf>
    <xf numFmtId="0" fontId="0" fillId="6" borderId="16" xfId="0" applyFill="1" applyBorder="1" applyAlignment="1">
      <alignment horizontal="center" vertical="center"/>
    </xf>
    <xf numFmtId="0" fontId="0" fillId="6" borderId="17" xfId="0" applyFill="1" applyBorder="1" applyAlignment="1">
      <alignment horizontal="center" vertical="center"/>
    </xf>
    <xf numFmtId="180" fontId="0" fillId="6" borderId="18" xfId="2" applyNumberFormat="1" applyFont="1" applyFill="1" applyBorder="1" applyAlignment="1">
      <alignment horizontal="center" vertical="center"/>
    </xf>
    <xf numFmtId="180" fontId="0" fillId="6" borderId="21" xfId="2" applyNumberFormat="1" applyFont="1" applyFill="1" applyBorder="1" applyAlignment="1">
      <alignment horizontal="center" vertical="center"/>
    </xf>
    <xf numFmtId="10" fontId="3" fillId="0" borderId="13" xfId="2" applyNumberFormat="1" applyFont="1" applyBorder="1">
      <alignment vertical="center"/>
    </xf>
    <xf numFmtId="0" fontId="3" fillId="0" borderId="13" xfId="2" applyNumberFormat="1" applyFont="1" applyBorder="1">
      <alignment vertical="center"/>
    </xf>
    <xf numFmtId="0" fontId="4" fillId="0" borderId="3" xfId="2" applyNumberFormat="1" applyFont="1" applyBorder="1">
      <alignment vertical="center"/>
    </xf>
    <xf numFmtId="0" fontId="0" fillId="2" borderId="22" xfId="0" applyFill="1" applyBorder="1" applyAlignment="1">
      <alignment horizontal="center" vertical="center"/>
    </xf>
    <xf numFmtId="0" fontId="3" fillId="2" borderId="12" xfId="0" applyFont="1" applyFill="1" applyBorder="1" applyAlignment="1">
      <alignment horizontal="center" vertical="center"/>
    </xf>
    <xf numFmtId="0" fontId="0" fillId="2" borderId="12" xfId="0" applyFill="1" applyBorder="1" applyAlignment="1">
      <alignment horizontal="center" vertical="center"/>
    </xf>
    <xf numFmtId="41" fontId="0" fillId="2" borderId="15" xfId="1" applyFont="1" applyFill="1" applyBorder="1" applyAlignment="1">
      <alignment horizontal="center" vertical="center"/>
    </xf>
    <xf numFmtId="0" fontId="0" fillId="6" borderId="44" xfId="0" applyFill="1" applyBorder="1" applyAlignment="1">
      <alignment horizontal="center" vertical="center"/>
    </xf>
    <xf numFmtId="2" fontId="0" fillId="4" borderId="29" xfId="0" applyNumberFormat="1" applyFill="1" applyBorder="1" applyAlignment="1">
      <alignment horizontal="center" vertical="center"/>
    </xf>
    <xf numFmtId="0" fontId="5" fillId="0" borderId="2" xfId="2" applyNumberFormat="1" applyFont="1" applyBorder="1">
      <alignment vertical="center"/>
    </xf>
    <xf numFmtId="0" fontId="5" fillId="0" borderId="0" xfId="2" applyNumberFormat="1" applyFont="1" applyBorder="1">
      <alignment vertical="center"/>
    </xf>
    <xf numFmtId="0" fontId="5" fillId="0" borderId="0" xfId="2" applyNumberFormat="1" applyFont="1">
      <alignment vertical="center"/>
    </xf>
    <xf numFmtId="0" fontId="3" fillId="0" borderId="0" xfId="2" applyNumberFormat="1" applyFont="1" applyBorder="1">
      <alignment vertical="center"/>
    </xf>
    <xf numFmtId="41" fontId="0" fillId="0" borderId="0" xfId="1" applyFont="1" applyBorder="1">
      <alignment vertical="center"/>
    </xf>
    <xf numFmtId="177" fontId="0" fillId="2" borderId="10" xfId="0" applyNumberFormat="1" applyFill="1" applyBorder="1" applyAlignment="1">
      <alignment horizontal="center" vertical="center"/>
    </xf>
    <xf numFmtId="177" fontId="0" fillId="0" borderId="31" xfId="0" applyNumberFormat="1" applyBorder="1" applyAlignment="1">
      <alignment horizontal="center" vertical="center"/>
    </xf>
    <xf numFmtId="177" fontId="0" fillId="2" borderId="12" xfId="1" applyNumberFormat="1" applyFont="1" applyFill="1" applyBorder="1" applyAlignment="1">
      <alignment horizontal="center" vertical="center"/>
    </xf>
    <xf numFmtId="177" fontId="0" fillId="0" borderId="5" xfId="0" applyNumberFormat="1" applyBorder="1" applyAlignment="1">
      <alignment horizontal="center" vertical="center"/>
    </xf>
    <xf numFmtId="177" fontId="0" fillId="0" borderId="28" xfId="0" applyNumberFormat="1" applyBorder="1" applyAlignment="1">
      <alignment horizontal="center" vertical="center"/>
    </xf>
    <xf numFmtId="177" fontId="0" fillId="2" borderId="15" xfId="0" applyNumberFormat="1" applyFill="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0" fontId="0" fillId="2" borderId="0" xfId="0" applyFill="1">
      <alignment vertical="center"/>
    </xf>
    <xf numFmtId="0" fontId="0" fillId="5" borderId="0" xfId="0" applyFill="1">
      <alignment vertical="center"/>
    </xf>
    <xf numFmtId="0" fontId="0" fillId="4" borderId="0" xfId="0" applyFill="1">
      <alignment vertical="center"/>
    </xf>
    <xf numFmtId="0" fontId="0" fillId="0" borderId="7" xfId="2" applyNumberFormat="1" applyFont="1" applyBorder="1">
      <alignment vertical="center"/>
    </xf>
    <xf numFmtId="10" fontId="0" fillId="0" borderId="7" xfId="2" applyNumberFormat="1" applyFont="1" applyBorder="1">
      <alignment vertical="center"/>
    </xf>
    <xf numFmtId="177" fontId="3" fillId="0" borderId="0" xfId="0" applyNumberFormat="1" applyFont="1" applyAlignment="1">
      <alignment horizontal="left" vertical="center"/>
    </xf>
    <xf numFmtId="181" fontId="0" fillId="6" borderId="16" xfId="0" applyNumberFormat="1" applyFill="1" applyBorder="1" applyAlignment="1">
      <alignment horizontal="center" vertical="center"/>
    </xf>
    <xf numFmtId="181" fontId="0" fillId="6" borderId="17" xfId="0" applyNumberFormat="1" applyFill="1" applyBorder="1" applyAlignment="1">
      <alignment horizontal="center" vertical="center"/>
    </xf>
    <xf numFmtId="181" fontId="0" fillId="6" borderId="44" xfId="0" applyNumberFormat="1" applyFill="1" applyBorder="1" applyAlignment="1">
      <alignment horizontal="center" vertical="center"/>
    </xf>
    <xf numFmtId="181" fontId="0" fillId="6" borderId="20" xfId="0" applyNumberFormat="1" applyFill="1" applyBorder="1" applyAlignment="1">
      <alignment horizontal="center" vertical="center"/>
    </xf>
    <xf numFmtId="181" fontId="0" fillId="7" borderId="29" xfId="0" applyNumberFormat="1" applyFill="1" applyBorder="1" applyAlignment="1">
      <alignment horizontal="center" vertical="center"/>
    </xf>
    <xf numFmtId="181" fontId="0" fillId="6" borderId="19" xfId="0" applyNumberFormat="1" applyFill="1" applyBorder="1" applyAlignment="1">
      <alignment horizontal="center" vertical="center"/>
    </xf>
    <xf numFmtId="180" fontId="0" fillId="6" borderId="19" xfId="2" applyNumberFormat="1" applyFont="1" applyFill="1" applyBorder="1" applyAlignment="1">
      <alignment horizontal="center" vertical="center"/>
    </xf>
    <xf numFmtId="180" fontId="0" fillId="6" borderId="20" xfId="2" applyNumberFormat="1" applyFont="1" applyFill="1" applyBorder="1" applyAlignment="1">
      <alignment horizontal="center" vertical="center"/>
    </xf>
    <xf numFmtId="180" fontId="0" fillId="6" borderId="29" xfId="2" applyNumberFormat="1" applyFont="1" applyFill="1" applyBorder="1" applyAlignment="1">
      <alignment horizontal="center" vertical="center"/>
    </xf>
    <xf numFmtId="181" fontId="0" fillId="0" borderId="19" xfId="0" applyNumberFormat="1" applyBorder="1" applyAlignment="1">
      <alignment horizontal="center" vertical="center"/>
    </xf>
    <xf numFmtId="181" fontId="0" fillId="0" borderId="20" xfId="0" applyNumberFormat="1" applyBorder="1" applyAlignment="1">
      <alignment horizontal="center" vertical="center"/>
    </xf>
    <xf numFmtId="181" fontId="0" fillId="0" borderId="29" xfId="0" applyNumberFormat="1" applyBorder="1" applyAlignment="1">
      <alignment horizontal="center" vertical="center"/>
    </xf>
    <xf numFmtId="181" fontId="0" fillId="0" borderId="21" xfId="0" applyNumberFormat="1" applyBorder="1" applyAlignment="1">
      <alignment horizontal="center" vertical="center"/>
    </xf>
    <xf numFmtId="181" fontId="0" fillId="0" borderId="39" xfId="0" applyNumberFormat="1" applyBorder="1" applyAlignment="1">
      <alignment horizontal="center" vertical="center"/>
    </xf>
    <xf numFmtId="181" fontId="0" fillId="0" borderId="1" xfId="0" applyNumberFormat="1" applyBorder="1" applyAlignment="1">
      <alignment horizontal="center" vertical="center"/>
    </xf>
    <xf numFmtId="180" fontId="0" fillId="0" borderId="19" xfId="2" applyNumberFormat="1" applyFont="1" applyBorder="1" applyAlignment="1">
      <alignment horizontal="center" vertical="center"/>
    </xf>
    <xf numFmtId="180" fontId="0" fillId="0" borderId="20" xfId="2" applyNumberFormat="1" applyFont="1" applyBorder="1" applyAlignment="1">
      <alignment horizontal="center" vertical="center"/>
    </xf>
    <xf numFmtId="0" fontId="5" fillId="0" borderId="2" xfId="0" applyFont="1" applyBorder="1">
      <alignment vertical="center"/>
    </xf>
    <xf numFmtId="0" fontId="4" fillId="0" borderId="2" xfId="0" applyFont="1" applyBorder="1">
      <alignment vertical="center"/>
    </xf>
    <xf numFmtId="0" fontId="4" fillId="0" borderId="6" xfId="2" applyNumberFormat="1" applyFont="1" applyFill="1" applyBorder="1">
      <alignment vertical="center"/>
    </xf>
    <xf numFmtId="10" fontId="0" fillId="0" borderId="7" xfId="2" applyNumberFormat="1" applyFont="1" applyFill="1" applyBorder="1">
      <alignment vertical="center"/>
    </xf>
    <xf numFmtId="0" fontId="5" fillId="0" borderId="0" xfId="0" applyFont="1">
      <alignment vertical="center"/>
    </xf>
    <xf numFmtId="176" fontId="4" fillId="0" borderId="0" xfId="0" applyNumberFormat="1" applyFont="1">
      <alignment vertical="center"/>
    </xf>
    <xf numFmtId="9" fontId="4" fillId="0" borderId="0" xfId="2" applyFont="1">
      <alignment vertical="center"/>
    </xf>
    <xf numFmtId="10" fontId="3" fillId="4" borderId="0" xfId="2" applyNumberFormat="1" applyFont="1" applyFill="1" applyBorder="1">
      <alignment vertical="center"/>
    </xf>
    <xf numFmtId="1" fontId="3" fillId="5" borderId="0" xfId="1" applyNumberFormat="1" applyFont="1" applyFill="1" applyBorder="1">
      <alignment vertical="center"/>
    </xf>
    <xf numFmtId="0" fontId="14" fillId="0" borderId="0" xfId="0" applyFont="1">
      <alignment vertical="center"/>
    </xf>
    <xf numFmtId="181" fontId="14" fillId="0" borderId="0" xfId="0" applyNumberFormat="1" applyFont="1">
      <alignment vertical="center"/>
    </xf>
    <xf numFmtId="2" fontId="0" fillId="0" borderId="0" xfId="0" applyNumberFormat="1">
      <alignment vertical="center"/>
    </xf>
    <xf numFmtId="0" fontId="15" fillId="0" borderId="0" xfId="0" applyFont="1">
      <alignment vertical="center"/>
    </xf>
    <xf numFmtId="0" fontId="0" fillId="0" borderId="31" xfId="0" applyBorder="1">
      <alignment vertical="center"/>
    </xf>
    <xf numFmtId="0" fontId="0" fillId="0" borderId="16" xfId="0" applyBorder="1">
      <alignment vertical="center"/>
    </xf>
    <xf numFmtId="0" fontId="0" fillId="0" borderId="18" xfId="2" applyNumberFormat="1" applyFont="1" applyBorder="1">
      <alignment vertical="center"/>
    </xf>
    <xf numFmtId="0" fontId="0" fillId="0" borderId="49" xfId="0" applyBorder="1">
      <alignment vertical="center"/>
    </xf>
    <xf numFmtId="41" fontId="0" fillId="0" borderId="50" xfId="1" applyFont="1" applyBorder="1">
      <alignment vertical="center"/>
    </xf>
    <xf numFmtId="0" fontId="16" fillId="0" borderId="39" xfId="0" applyFont="1" applyBorder="1">
      <alignment vertical="center"/>
    </xf>
    <xf numFmtId="0" fontId="16" fillId="0" borderId="31" xfId="0" applyFont="1" applyBorder="1">
      <alignment vertical="center"/>
    </xf>
    <xf numFmtId="0" fontId="16" fillId="0" borderId="19" xfId="0" applyFont="1" applyBorder="1">
      <alignment vertical="center"/>
    </xf>
    <xf numFmtId="0" fontId="16" fillId="0" borderId="21" xfId="0" applyFont="1" applyBorder="1">
      <alignment vertical="center"/>
    </xf>
    <xf numFmtId="180" fontId="0" fillId="0" borderId="0" xfId="2" applyNumberFormat="1" applyFont="1">
      <alignment vertical="center"/>
    </xf>
    <xf numFmtId="0" fontId="3" fillId="0" borderId="5" xfId="0" applyFont="1" applyBorder="1" applyAlignment="1">
      <alignment horizontal="center" vertical="center" wrapText="1"/>
    </xf>
    <xf numFmtId="0" fontId="13" fillId="0" borderId="0" xfId="3">
      <alignment vertical="center"/>
    </xf>
    <xf numFmtId="0" fontId="0" fillId="0" borderId="0" xfId="0" applyAlignment="1">
      <alignment vertical="center" wrapText="1"/>
    </xf>
    <xf numFmtId="180" fontId="0" fillId="0" borderId="0" xfId="0" applyNumberFormat="1">
      <alignment vertical="center"/>
    </xf>
    <xf numFmtId="182" fontId="0" fillId="0" borderId="0" xfId="0" applyNumberFormat="1">
      <alignment vertical="center"/>
    </xf>
    <xf numFmtId="3" fontId="0" fillId="0" borderId="0" xfId="2" applyNumberFormat="1" applyFont="1" applyBorder="1">
      <alignment vertical="center"/>
    </xf>
    <xf numFmtId="0" fontId="12" fillId="0" borderId="0" xfId="0" applyFont="1" applyAlignment="1">
      <alignment horizontal="left" vertical="center"/>
    </xf>
    <xf numFmtId="4" fontId="0" fillId="0" borderId="0" xfId="2" applyNumberFormat="1" applyFont="1" applyBorder="1">
      <alignment vertical="center"/>
    </xf>
    <xf numFmtId="0" fontId="0" fillId="0" borderId="8" xfId="2" applyNumberFormat="1" applyFont="1" applyBorder="1">
      <alignment vertical="center"/>
    </xf>
    <xf numFmtId="0" fontId="0" fillId="0" borderId="9" xfId="2" applyNumberFormat="1" applyFont="1" applyBorder="1">
      <alignment vertical="center"/>
    </xf>
    <xf numFmtId="0" fontId="0" fillId="0" borderId="10" xfId="2" applyNumberFormat="1" applyFont="1" applyBorder="1">
      <alignment vertical="center"/>
    </xf>
    <xf numFmtId="0" fontId="0" fillId="0" borderId="0" xfId="2" applyNumberFormat="1" applyFont="1" applyFill="1" applyBorder="1">
      <alignment vertical="center"/>
    </xf>
    <xf numFmtId="10" fontId="4" fillId="5" borderId="0" xfId="2" applyNumberFormat="1" applyFont="1" applyFill="1" applyBorder="1">
      <alignment vertical="center"/>
    </xf>
    <xf numFmtId="0" fontId="4" fillId="2" borderId="0" xfId="0" applyFont="1" applyFill="1">
      <alignment vertical="center"/>
    </xf>
    <xf numFmtId="0" fontId="17" fillId="0" borderId="27" xfId="0" applyFont="1" applyBorder="1">
      <alignment vertical="center"/>
    </xf>
    <xf numFmtId="0" fontId="4" fillId="0" borderId="39" xfId="0" applyFont="1" applyBorder="1">
      <alignment vertical="center"/>
    </xf>
    <xf numFmtId="0" fontId="4" fillId="0" borderId="31" xfId="0" applyFont="1" applyBorder="1">
      <alignment vertical="center"/>
    </xf>
    <xf numFmtId="0" fontId="19" fillId="0" borderId="0" xfId="0" applyFont="1">
      <alignment vertical="center"/>
    </xf>
    <xf numFmtId="0" fontId="4" fillId="0" borderId="19" xfId="0" applyFont="1" applyBorder="1">
      <alignment vertical="center"/>
    </xf>
    <xf numFmtId="9" fontId="4" fillId="0" borderId="21" xfId="2" applyFont="1" applyBorder="1">
      <alignment vertical="center"/>
    </xf>
    <xf numFmtId="0" fontId="3" fillId="0" borderId="51" xfId="0" applyFont="1" applyBorder="1">
      <alignment vertical="center"/>
    </xf>
    <xf numFmtId="0" fontId="19" fillId="0" borderId="52" xfId="0" applyFont="1" applyBorder="1">
      <alignment vertical="center"/>
    </xf>
    <xf numFmtId="0" fontId="3" fillId="0" borderId="46" xfId="0" applyFont="1" applyBorder="1">
      <alignment vertical="center"/>
    </xf>
    <xf numFmtId="0" fontId="0" fillId="0" borderId="13" xfId="0" applyBorder="1">
      <alignment vertical="center"/>
    </xf>
    <xf numFmtId="0" fontId="12" fillId="0" borderId="13" xfId="0" applyFont="1" applyBorder="1" applyAlignment="1">
      <alignment horizontal="left" vertical="center"/>
    </xf>
    <xf numFmtId="0" fontId="3" fillId="0" borderId="13" xfId="0" applyFont="1" applyBorder="1">
      <alignment vertical="center"/>
    </xf>
    <xf numFmtId="0" fontId="19" fillId="0" borderId="35" xfId="0" applyFont="1" applyBorder="1">
      <alignment vertical="center"/>
    </xf>
    <xf numFmtId="0" fontId="3" fillId="0" borderId="36" xfId="2" applyNumberFormat="1" applyFont="1" applyBorder="1" applyAlignment="1">
      <alignment vertical="center"/>
    </xf>
    <xf numFmtId="0" fontId="3" fillId="0" borderId="37" xfId="2" applyNumberFormat="1" applyFont="1" applyBorder="1" applyAlignment="1">
      <alignment vertical="center"/>
    </xf>
    <xf numFmtId="0" fontId="11" fillId="0" borderId="37" xfId="0" applyFont="1" applyBorder="1">
      <alignment vertical="center"/>
    </xf>
    <xf numFmtId="0" fontId="18" fillId="0" borderId="38" xfId="2" applyNumberFormat="1" applyFont="1" applyFill="1" applyBorder="1" applyAlignment="1">
      <alignment vertical="center"/>
    </xf>
    <xf numFmtId="0" fontId="17" fillId="0" borderId="28" xfId="0" applyFont="1" applyBorder="1">
      <alignment vertical="center"/>
    </xf>
    <xf numFmtId="10" fontId="4" fillId="4" borderId="0" xfId="2" applyNumberFormat="1" applyFont="1" applyFill="1" applyBorder="1" applyAlignment="1">
      <alignment vertical="center" wrapText="1"/>
    </xf>
    <xf numFmtId="10" fontId="0" fillId="4" borderId="0" xfId="2" applyNumberFormat="1" applyFont="1" applyFill="1" applyAlignment="1">
      <alignment vertical="center" wrapText="1"/>
    </xf>
    <xf numFmtId="0" fontId="20" fillId="0" borderId="53" xfId="0" applyFont="1" applyBorder="1">
      <alignment vertical="center"/>
    </xf>
    <xf numFmtId="10" fontId="0" fillId="0" borderId="0" xfId="2" applyNumberFormat="1" applyFont="1" applyAlignment="1">
      <alignment horizontal="right" vertical="center"/>
    </xf>
    <xf numFmtId="10" fontId="0" fillId="0" borderId="2" xfId="2" applyNumberFormat="1" applyFont="1" applyBorder="1" applyAlignment="1">
      <alignment horizontal="right" vertical="center"/>
    </xf>
    <xf numFmtId="10" fontId="0" fillId="0" borderId="54" xfId="2" applyNumberFormat="1" applyFont="1" applyBorder="1">
      <alignment vertical="center"/>
    </xf>
    <xf numFmtId="10" fontId="0" fillId="0" borderId="55" xfId="2" applyNumberFormat="1" applyFont="1" applyBorder="1">
      <alignment vertical="center"/>
    </xf>
    <xf numFmtId="0" fontId="9" fillId="0" borderId="0" xfId="0" applyFont="1">
      <alignment vertical="center"/>
    </xf>
    <xf numFmtId="0" fontId="11" fillId="0" borderId="0" xfId="0" applyFont="1">
      <alignment vertical="center"/>
    </xf>
    <xf numFmtId="10" fontId="4" fillId="0" borderId="0" xfId="2" applyNumberFormat="1" applyFont="1" applyFill="1" applyBorder="1">
      <alignment vertical="center"/>
    </xf>
    <xf numFmtId="0" fontId="5" fillId="0" borderId="0" xfId="2" applyNumberFormat="1" applyFont="1" applyFill="1" applyBorder="1">
      <alignment vertical="center"/>
    </xf>
    <xf numFmtId="0" fontId="8" fillId="0" borderId="7" xfId="2" applyNumberFormat="1" applyFont="1" applyBorder="1" applyAlignment="1">
      <alignment horizontal="right" vertical="center"/>
    </xf>
    <xf numFmtId="0" fontId="5" fillId="0" borderId="0" xfId="2" applyNumberFormat="1" applyFont="1" applyBorder="1" applyAlignment="1">
      <alignment horizontal="right" vertical="center"/>
    </xf>
    <xf numFmtId="0" fontId="5" fillId="0" borderId="2" xfId="2" applyNumberFormat="1" applyFont="1" applyBorder="1" applyAlignment="1">
      <alignment horizontal="right" vertical="center"/>
    </xf>
    <xf numFmtId="2" fontId="4" fillId="0" borderId="0" xfId="0" applyNumberFormat="1" applyFont="1">
      <alignment vertical="center"/>
    </xf>
    <xf numFmtId="0" fontId="17" fillId="4" borderId="0" xfId="0" applyFont="1" applyFill="1">
      <alignment vertical="center"/>
    </xf>
    <xf numFmtId="2" fontId="17" fillId="4" borderId="0" xfId="0" applyNumberFormat="1" applyFont="1" applyFill="1">
      <alignment vertical="center"/>
    </xf>
    <xf numFmtId="2" fontId="17" fillId="4" borderId="0" xfId="0" applyNumberFormat="1" applyFont="1" applyFill="1" applyAlignment="1">
      <alignment horizontal="center" vertical="center"/>
    </xf>
    <xf numFmtId="10" fontId="21" fillId="4" borderId="0" xfId="2" applyNumberFormat="1" applyFont="1" applyFill="1" applyAlignment="1">
      <alignment vertical="center" wrapText="1"/>
    </xf>
    <xf numFmtId="183" fontId="9" fillId="4" borderId="0" xfId="2" applyNumberFormat="1" applyFont="1" applyFill="1" applyBorder="1">
      <alignment vertical="center"/>
    </xf>
    <xf numFmtId="181" fontId="3" fillId="5" borderId="43" xfId="0" applyNumberFormat="1" applyFont="1" applyFill="1" applyBorder="1" applyAlignment="1">
      <alignment horizontal="center" vertical="center"/>
    </xf>
    <xf numFmtId="181" fontId="3" fillId="5" borderId="35" xfId="0" applyNumberFormat="1" applyFont="1" applyFill="1" applyBorder="1" applyAlignment="1">
      <alignment horizontal="center" vertical="center"/>
    </xf>
    <xf numFmtId="181" fontId="3" fillId="5" borderId="45" xfId="0" applyNumberFormat="1" applyFont="1" applyFill="1" applyBorder="1" applyAlignment="1">
      <alignment horizontal="right" vertical="center"/>
    </xf>
    <xf numFmtId="181" fontId="3" fillId="5" borderId="46" xfId="0" applyNumberFormat="1" applyFont="1" applyFill="1" applyBorder="1" applyAlignment="1">
      <alignment horizontal="right" vertical="center"/>
    </xf>
    <xf numFmtId="2" fontId="14" fillId="0" borderId="0" xfId="0" applyNumberFormat="1" applyFont="1">
      <alignment vertical="center"/>
    </xf>
    <xf numFmtId="181" fontId="0" fillId="0" borderId="0" xfId="0" applyNumberFormat="1">
      <alignment vertical="center"/>
    </xf>
    <xf numFmtId="0" fontId="3" fillId="0" borderId="40" xfId="0" applyFont="1" applyBorder="1" applyAlignment="1">
      <alignment horizontal="center" vertical="center"/>
    </xf>
    <xf numFmtId="0" fontId="3" fillId="0" borderId="42" xfId="0" applyFont="1" applyBorder="1" applyAlignment="1">
      <alignment horizontal="center" vertical="center"/>
    </xf>
    <xf numFmtId="0" fontId="0" fillId="6" borderId="25" xfId="0" applyFill="1" applyBorder="1" applyAlignment="1">
      <alignment horizontal="center" vertical="center"/>
    </xf>
    <xf numFmtId="0" fontId="0" fillId="0" borderId="0" xfId="0" applyAlignment="1">
      <alignment horizontal="center" vertical="center"/>
    </xf>
    <xf numFmtId="177" fontId="0" fillId="0" borderId="0" xfId="0" applyNumberFormat="1" applyAlignment="1">
      <alignment horizontal="center" vertical="center"/>
    </xf>
    <xf numFmtId="0" fontId="3" fillId="0" borderId="0" xfId="0" applyFont="1" applyAlignment="1">
      <alignment horizontal="center" vertical="center"/>
    </xf>
    <xf numFmtId="10" fontId="0" fillId="0" borderId="3" xfId="2" applyNumberFormat="1" applyFont="1" applyBorder="1" applyAlignment="1">
      <alignment horizontal="center" vertical="center"/>
    </xf>
    <xf numFmtId="184" fontId="0" fillId="0" borderId="0" xfId="0" applyNumberFormat="1">
      <alignment vertical="center"/>
    </xf>
    <xf numFmtId="0" fontId="0" fillId="6" borderId="33" xfId="0" applyFill="1" applyBorder="1" applyAlignment="1">
      <alignment horizontal="center" vertical="center"/>
    </xf>
    <xf numFmtId="0" fontId="0" fillId="6" borderId="34" xfId="0" applyFill="1" applyBorder="1" applyAlignment="1">
      <alignment horizontal="center" vertical="center"/>
    </xf>
    <xf numFmtId="0" fontId="3" fillId="0" borderId="36" xfId="0" applyFont="1" applyBorder="1" applyAlignment="1">
      <alignment horizontal="center" vertical="center"/>
    </xf>
    <xf numFmtId="0" fontId="3" fillId="0" borderId="38" xfId="0" applyFont="1" applyBorder="1" applyAlignment="1">
      <alignment horizontal="center" vertical="center"/>
    </xf>
    <xf numFmtId="0" fontId="3" fillId="0" borderId="37" xfId="0" applyFont="1" applyBorder="1" applyAlignment="1">
      <alignment horizontal="center" vertical="center"/>
    </xf>
    <xf numFmtId="0" fontId="3" fillId="4" borderId="36" xfId="0" applyFont="1" applyFill="1" applyBorder="1" applyAlignment="1">
      <alignment horizontal="center" vertical="center"/>
    </xf>
    <xf numFmtId="0" fontId="3" fillId="4" borderId="37" xfId="0" applyFont="1" applyFill="1" applyBorder="1" applyAlignment="1">
      <alignment horizontal="center" vertical="center"/>
    </xf>
    <xf numFmtId="0" fontId="3" fillId="4" borderId="38"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37" xfId="0" applyFont="1" applyFill="1" applyBorder="1" applyAlignment="1">
      <alignment horizontal="center" vertical="center"/>
    </xf>
    <xf numFmtId="0" fontId="3" fillId="5" borderId="38" xfId="0" applyFont="1" applyFill="1" applyBorder="1" applyAlignment="1">
      <alignment horizontal="center" vertical="center"/>
    </xf>
    <xf numFmtId="181" fontId="3" fillId="0" borderId="33" xfId="0" applyNumberFormat="1" applyFont="1" applyBorder="1" applyAlignment="1">
      <alignment horizontal="center" vertical="center"/>
    </xf>
    <xf numFmtId="181" fontId="3" fillId="0" borderId="34" xfId="0" applyNumberFormat="1" applyFont="1" applyBorder="1" applyAlignment="1">
      <alignment horizontal="center" vertical="center"/>
    </xf>
    <xf numFmtId="0" fontId="3" fillId="0" borderId="40" xfId="0" applyFont="1" applyBorder="1" applyAlignment="1">
      <alignment horizontal="center" vertical="center"/>
    </xf>
    <xf numFmtId="0" fontId="3" fillId="0" borderId="42" xfId="0" applyFont="1" applyBorder="1" applyAlignment="1">
      <alignment horizontal="center" vertical="center"/>
    </xf>
    <xf numFmtId="181" fontId="0" fillId="7" borderId="32" xfId="0" applyNumberFormat="1" applyFill="1" applyBorder="1" applyAlignment="1">
      <alignment horizontal="center" vertical="center"/>
    </xf>
    <xf numFmtId="181" fontId="0" fillId="7" borderId="15" xfId="0" applyNumberFormat="1" applyFill="1" applyBorder="1" applyAlignment="1">
      <alignment horizontal="center" vertical="center"/>
    </xf>
    <xf numFmtId="0" fontId="0" fillId="6" borderId="30" xfId="0" applyFill="1" applyBorder="1" applyAlignment="1">
      <alignment horizontal="center" vertical="center"/>
    </xf>
    <xf numFmtId="0" fontId="0" fillId="6" borderId="25" xfId="0" applyFill="1" applyBorder="1" applyAlignment="1">
      <alignment horizontal="center" vertical="center"/>
    </xf>
    <xf numFmtId="0" fontId="0" fillId="6" borderId="47" xfId="0" applyFill="1" applyBorder="1" applyAlignment="1">
      <alignment horizontal="center" vertical="center"/>
    </xf>
    <xf numFmtId="0" fontId="0" fillId="6" borderId="48" xfId="0" applyFill="1" applyBorder="1" applyAlignment="1">
      <alignment horizontal="center" vertical="center"/>
    </xf>
    <xf numFmtId="0" fontId="0" fillId="0" borderId="0" xfId="0" applyAlignment="1">
      <alignment horizontal="center" vertical="center"/>
    </xf>
    <xf numFmtId="177" fontId="0" fillId="0" borderId="0" xfId="0" applyNumberForma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wrapText="1"/>
    </xf>
    <xf numFmtId="0" fontId="4" fillId="0" borderId="0" xfId="0" applyFont="1" applyAlignment="1">
      <alignment horizontal="center" vertical="center"/>
    </xf>
    <xf numFmtId="10" fontId="0" fillId="0" borderId="0" xfId="2" applyNumberFormat="1" applyFont="1" applyAlignment="1">
      <alignment horizontal="center" vertical="center"/>
    </xf>
    <xf numFmtId="10" fontId="4" fillId="0" borderId="3" xfId="2" applyNumberFormat="1" applyFont="1" applyBorder="1" applyAlignment="1">
      <alignment horizontal="center" vertical="center"/>
    </xf>
    <xf numFmtId="10" fontId="4" fillId="0" borderId="0" xfId="2" applyNumberFormat="1" applyFont="1" applyBorder="1" applyAlignment="1">
      <alignment horizontal="center" vertical="center"/>
    </xf>
    <xf numFmtId="10" fontId="4" fillId="0" borderId="9" xfId="2" applyNumberFormat="1" applyFont="1" applyBorder="1" applyAlignment="1">
      <alignment horizontal="center" vertical="center"/>
    </xf>
    <xf numFmtId="10" fontId="3" fillId="0" borderId="0" xfId="2" applyNumberFormat="1" applyFont="1" applyAlignment="1">
      <alignment horizontal="center" vertical="center"/>
    </xf>
    <xf numFmtId="10" fontId="3" fillId="0" borderId="2" xfId="2" applyNumberFormat="1" applyFont="1" applyBorder="1" applyAlignment="1">
      <alignment horizontal="center" vertical="center"/>
    </xf>
    <xf numFmtId="10" fontId="3" fillId="0" borderId="9" xfId="2" applyNumberFormat="1" applyFont="1" applyBorder="1" applyAlignment="1">
      <alignment horizontal="center" vertical="center"/>
    </xf>
    <xf numFmtId="10" fontId="3" fillId="0" borderId="10" xfId="2" applyNumberFormat="1" applyFont="1" applyBorder="1" applyAlignment="1">
      <alignment horizontal="center" vertical="center"/>
    </xf>
    <xf numFmtId="10" fontId="0" fillId="0" borderId="0" xfId="2" applyNumberFormat="1" applyFont="1" applyAlignment="1">
      <alignment horizontal="center" vertical="center" wrapText="1"/>
    </xf>
    <xf numFmtId="10" fontId="0" fillId="0" borderId="3" xfId="2" applyNumberFormat="1" applyFont="1" applyBorder="1" applyAlignment="1">
      <alignment horizontal="center" vertical="center"/>
    </xf>
    <xf numFmtId="10" fontId="0" fillId="0" borderId="0" xfId="2" applyNumberFormat="1" applyFont="1" applyBorder="1" applyAlignment="1">
      <alignment horizontal="center" vertical="center"/>
    </xf>
  </cellXfs>
  <cellStyles count="4">
    <cellStyle name="Hyperlink" xfId="3" xr:uid="{00000000-000B-0000-0000-000008000000}"/>
    <cellStyle name="백분율" xfId="2" builtinId="5"/>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237671</xdr:colOff>
      <xdr:row>58</xdr:row>
      <xdr:rowOff>155601</xdr:rowOff>
    </xdr:from>
    <xdr:to>
      <xdr:col>8</xdr:col>
      <xdr:colOff>461710</xdr:colOff>
      <xdr:row>64</xdr:row>
      <xdr:rowOff>5127</xdr:rowOff>
    </xdr:to>
    <xdr:pic>
      <xdr:nvPicPr>
        <xdr:cNvPr id="3" name="그림 1">
          <a:extLst>
            <a:ext uri="{FF2B5EF4-FFF2-40B4-BE49-F238E27FC236}">
              <a16:creationId xmlns:a16="http://schemas.microsoft.com/office/drawing/2014/main" id="{F3D06849-02DC-41B7-A366-5A17C0DDC985}"/>
            </a:ext>
          </a:extLst>
        </xdr:cNvPr>
        <xdr:cNvPicPr>
          <a:picLocks noChangeAspect="1"/>
        </xdr:cNvPicPr>
      </xdr:nvPicPr>
      <xdr:blipFill>
        <a:blip xmlns:r="http://schemas.openxmlformats.org/officeDocument/2006/relationships" r:embed="rId1"/>
        <a:stretch>
          <a:fillRect/>
        </a:stretch>
      </xdr:blipFill>
      <xdr:spPr>
        <a:xfrm>
          <a:off x="923471" y="12309501"/>
          <a:ext cx="5024639" cy="11068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44228;&#49328;&#44592;&#48177;&#50629;.xlsx" TargetMode="External"/><Relationship Id="rId2" Type="http://schemas.openxmlformats.org/officeDocument/2006/relationships/externalLinkPath" Target="https://d.docs.live.net/C:/Users/user/Desktop/&#44228;&#49328;&#44592;&#48177;&#50629;.xlsx" TargetMode="External"/><Relationship Id="rId1" Type="http://schemas.openxmlformats.org/officeDocument/2006/relationships/externalLinkPath" Target="/Users/user/Desktop/&#44228;&#49328;&#44592;&#48177;&#5062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60a4b397f6e03c23/&#51060;&#44163;&#51200;&#44163;'/N/&#44228;&#49328;&#44592;%20-%20&#48373;&#49324;&#48376;.xlsx" TargetMode="External"/><Relationship Id="rId1" Type="http://schemas.openxmlformats.org/officeDocument/2006/relationships/externalLinkPath" Target="https://d.docs.live.net/60a4b397f6e03c23/&#51060;&#44163;&#51200;&#44163;'/N/&#44228;&#49328;&#44592;%20-%20&#48373;&#49324;&#4837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딜규칙"/>
      <sheetName val="메인"/>
      <sheetName val="니케목록"/>
      <sheetName val="니케스팩"/>
      <sheetName val="딜량계산"/>
      <sheetName val="라피"/>
      <sheetName val="헬름"/>
      <sheetName val="사격장"/>
      <sheetName val="라피(사격장)"/>
      <sheetName val="헬름(사격장)"/>
      <sheetName val="버프정리"/>
      <sheetName val="딜러데이터"/>
      <sheetName val="서포터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브리드"/>
      <sheetName val="딜규칙"/>
      <sheetName val="비교"/>
      <sheetName val="메인"/>
      <sheetName val="니케목록"/>
      <sheetName val="니케스팩"/>
      <sheetName val="딜량계산"/>
      <sheetName val="라피"/>
      <sheetName val="헬름"/>
      <sheetName val="사격장"/>
      <sheetName val="라피(사격장)"/>
      <sheetName val="헬름(사격장)"/>
      <sheetName val="버프정리"/>
      <sheetName val="딜러데이터"/>
      <sheetName val="서포터데이터"/>
    </sheetNames>
    <sheetDataSet>
      <sheetData sheetId="0" refreshError="1"/>
      <sheetData sheetId="1" refreshError="1"/>
      <sheetData sheetId="2" refreshError="1"/>
      <sheetData sheetId="3" refreshError="1"/>
      <sheetData sheetId="4" refreshError="1"/>
      <sheetData sheetId="5">
        <row r="2">
          <cell r="M2" t="str">
            <v>AR</v>
          </cell>
          <cell r="N2">
            <v>120</v>
          </cell>
        </row>
        <row r="3">
          <cell r="M3" t="str">
            <v>SG</v>
          </cell>
          <cell r="N3">
            <v>15.15</v>
          </cell>
        </row>
        <row r="4">
          <cell r="M4" t="str">
            <v>SMG</v>
          </cell>
          <cell r="N4">
            <v>200</v>
          </cell>
        </row>
        <row r="5">
          <cell r="M5" t="str">
            <v>MG</v>
          </cell>
          <cell r="N5">
            <v>550</v>
          </cell>
        </row>
        <row r="6">
          <cell r="M6" t="str">
            <v>RL</v>
          </cell>
          <cell r="N6">
            <v>8.1300000000000008</v>
          </cell>
        </row>
        <row r="7">
          <cell r="M7" t="str">
            <v>SR</v>
          </cell>
          <cell r="N7">
            <v>8.1300000000000008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arca.live/b/nikketgv/9624396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73B54-B00B-40CA-8009-E68DF098AB66}">
  <dimension ref="B1:AC91"/>
  <sheetViews>
    <sheetView tabSelected="1" zoomScale="70" zoomScaleNormal="70" workbookViewId="0">
      <selection activeCell="C19" sqref="C19"/>
    </sheetView>
  </sheetViews>
  <sheetFormatPr defaultRowHeight="17" x14ac:dyDescent="0.45"/>
  <cols>
    <col min="2" max="2" width="26.83203125" customWidth="1"/>
    <col min="3" max="3" width="12" bestFit="1" customWidth="1"/>
    <col min="4" max="4" width="7.33203125" customWidth="1"/>
    <col min="5" max="11" width="11.58203125" customWidth="1"/>
    <col min="12" max="16" width="12.58203125" customWidth="1"/>
    <col min="17" max="17" width="11.25" customWidth="1"/>
    <col min="18" max="18" width="10.08203125" customWidth="1"/>
    <col min="19" max="19" width="10.75" customWidth="1"/>
    <col min="20" max="20" width="8.58203125" customWidth="1"/>
  </cols>
  <sheetData>
    <row r="1" spans="2:29" ht="17.5" thickBot="1" x14ac:dyDescent="0.5"/>
    <row r="2" spans="2:29" ht="17.5" thickBot="1" x14ac:dyDescent="0.5">
      <c r="B2" s="259" t="s">
        <v>15</v>
      </c>
      <c r="C2" s="260"/>
      <c r="E2" s="248" t="s">
        <v>16</v>
      </c>
      <c r="F2" s="250"/>
      <c r="G2" s="250"/>
      <c r="H2" s="250"/>
      <c r="I2" s="250"/>
      <c r="J2" s="249"/>
      <c r="M2" s="251" t="s">
        <v>17</v>
      </c>
      <c r="N2" s="252"/>
      <c r="O2" s="253"/>
    </row>
    <row r="3" spans="2:29" ht="17.5" thickBot="1" x14ac:dyDescent="0.5">
      <c r="B3" s="173" t="s">
        <v>18</v>
      </c>
      <c r="C3" s="174">
        <v>31784</v>
      </c>
      <c r="E3" s="83"/>
      <c r="F3" s="115" t="s">
        <v>19</v>
      </c>
      <c r="G3" s="79" t="s">
        <v>20</v>
      </c>
      <c r="H3" s="79" t="s">
        <v>21</v>
      </c>
      <c r="I3" s="79" t="s">
        <v>22</v>
      </c>
      <c r="J3" s="80" t="s">
        <v>23</v>
      </c>
      <c r="M3" s="238" t="s">
        <v>24</v>
      </c>
      <c r="N3" s="103" t="s">
        <v>5</v>
      </c>
      <c r="O3" s="239" t="s">
        <v>25</v>
      </c>
      <c r="R3" s="243" t="s">
        <v>26</v>
      </c>
      <c r="S3" s="243" t="s">
        <v>27</v>
      </c>
      <c r="T3" s="9" t="s">
        <v>28</v>
      </c>
    </row>
    <row r="4" spans="2:29" x14ac:dyDescent="0.45">
      <c r="B4" s="171" t="s">
        <v>29</v>
      </c>
      <c r="C4" s="172">
        <v>0</v>
      </c>
      <c r="E4" s="86" t="s">
        <v>30</v>
      </c>
      <c r="F4" s="116" t="s">
        <v>7</v>
      </c>
      <c r="G4" s="180" t="s">
        <v>497</v>
      </c>
      <c r="H4" s="180" t="s">
        <v>454</v>
      </c>
      <c r="I4" s="77" t="s">
        <v>455</v>
      </c>
      <c r="J4" s="95"/>
      <c r="M4" s="153">
        <f>O4-N4</f>
        <v>0.66281656873968275</v>
      </c>
      <c r="N4" s="154">
        <f>SUMIF(G18:M18,"스킬",G16:M16)</f>
        <v>1.7310041909229921</v>
      </c>
      <c r="O4" s="257">
        <f>N16</f>
        <v>2.3938207596626748</v>
      </c>
      <c r="R4">
        <v>4.5</v>
      </c>
      <c r="S4">
        <f>180/R4</f>
        <v>40</v>
      </c>
      <c r="T4">
        <f>S4/2-10</f>
        <v>10</v>
      </c>
      <c r="U4" t="s">
        <v>34</v>
      </c>
    </row>
    <row r="5" spans="2:29" ht="17.5" thickBot="1" x14ac:dyDescent="0.5">
      <c r="B5" s="89" t="s">
        <v>35</v>
      </c>
      <c r="C5" s="93">
        <v>0</v>
      </c>
      <c r="E5" s="86" t="s">
        <v>36</v>
      </c>
      <c r="F5" s="117" t="str" cm="1">
        <f t="array" ref="F5">INDEX(딜러데이터!$1:$1, 1, MATCH($F$4, 딜러데이터!$1:$1, 0)+1)</f>
        <v>방어형</v>
      </c>
      <c r="G5" s="76" t="str" cm="1">
        <f t="array" ref="G5">INDEX(서포터데이터!$1:$1, 1, MATCH(G$4, 서포터데이터!$1:$1, 0)+1)</f>
        <v>방어형</v>
      </c>
      <c r="H5" s="76" t="str" cm="1">
        <f t="array" ref="H5">INDEX(서포터데이터!$1:$1, 1, MATCH(H$4, 서포터데이터!$1:$1, 0)+1)</f>
        <v>지원형</v>
      </c>
      <c r="I5" s="76" t="str" cm="1">
        <f t="array" ref="I5">INDEX(서포터데이터!$1:$1, 1, MATCH(I$4, 서포터데이터!$1:$1, 0)+1)</f>
        <v>지원형</v>
      </c>
      <c r="J5" s="88" t="e" cm="1">
        <f t="array" ref="J5">INDEX(서포터데이터!$1:$1, 1, MATCH(J$4, 서포터데이터!$1:$1, 0)+1)</f>
        <v>#N/A</v>
      </c>
      <c r="M5" s="155">
        <f>1-N5</f>
        <v>0.27688646531458916</v>
      </c>
      <c r="N5" s="156">
        <f>SUMIF(G18:M18,"스킬",G16:M16)/N16</f>
        <v>0.72311353468541084</v>
      </c>
      <c r="O5" s="258"/>
      <c r="R5">
        <v>6</v>
      </c>
      <c r="S5">
        <f>180/R5</f>
        <v>30</v>
      </c>
      <c r="T5">
        <f>S5/2-10</f>
        <v>5</v>
      </c>
      <c r="U5" t="s">
        <v>37</v>
      </c>
    </row>
    <row r="6" spans="2:29" ht="17.5" thickBot="1" x14ac:dyDescent="0.5">
      <c r="B6" s="194" t="s">
        <v>38</v>
      </c>
      <c r="C6" s="211">
        <v>50</v>
      </c>
      <c r="E6" s="84" t="s">
        <v>39</v>
      </c>
      <c r="F6" s="118" t="str" cm="1">
        <f t="array" ref="F6">INDEX(딜러데이터!$1:$1, 1, MATCH($F$4, 딜러데이터!$1:$1, 0)+2)</f>
        <v>RL</v>
      </c>
      <c r="G6" s="81" t="str" cm="1">
        <f t="array" ref="G6">INDEX(서포터데이터!$1:$1, 1, MATCH(G$4, 서포터데이터!$1:$1, 0)+2)</f>
        <v>RL</v>
      </c>
      <c r="H6" s="81" t="str" cm="1">
        <f t="array" ref="H6">INDEX(서포터데이터!$1:$1, 1, MATCH(H$4, 서포터데이터!$1:$1, 0)+2)</f>
        <v>MG</v>
      </c>
      <c r="I6" s="81" t="str" cm="1">
        <f t="array" ref="I6">INDEX(서포터데이터!$1:$1, 1, MATCH(I$4, 서포터데이터!$1:$1, 0)+2)</f>
        <v>RL</v>
      </c>
      <c r="J6" s="82" t="e" cm="1">
        <f t="array" ref="J6">INDEX(서포터데이터!$1:$1, 1, MATCH(J$4, 서포터데이터!$1:$1, 0)+2)</f>
        <v>#N/A</v>
      </c>
      <c r="L6" s="241"/>
      <c r="R6">
        <v>6.5</v>
      </c>
      <c r="S6" s="168">
        <f>180/R6</f>
        <v>27.692307692307693</v>
      </c>
      <c r="T6" s="168">
        <f>S6/2-10</f>
        <v>3.8461538461538467</v>
      </c>
      <c r="U6" t="s">
        <v>40</v>
      </c>
    </row>
    <row r="7" spans="2:29" ht="17.5" thickBot="1" x14ac:dyDescent="0.5">
      <c r="B7" s="198" t="s">
        <v>41</v>
      </c>
      <c r="C7" s="199"/>
      <c r="E7" s="85" t="s">
        <v>42</v>
      </c>
      <c r="F7" s="126">
        <f>IFERROR(HLOOKUP(F5, 니케스팩!$B$3:$E$5, 2, FALSE), 0)</f>
        <v>90881.72</v>
      </c>
      <c r="G7" s="87">
        <f>IFERROR(HLOOKUP(G5, 니케스팩!$B$3:$E$5, 2, FALSE), 0)</f>
        <v>90881.72</v>
      </c>
      <c r="H7" s="87">
        <f>IFERROR(HLOOKUP(H5, 니케스팩!$B$3:$E$5, 2, FALSE), 0)</f>
        <v>109843.9</v>
      </c>
      <c r="I7" s="87">
        <f>IFERROR(HLOOKUP(I5, 니케스팩!$B$3:$E$5, 2, FALSE), 0)</f>
        <v>109843.9</v>
      </c>
      <c r="J7" s="127">
        <f>IFERROR(HLOOKUP(J5, 니케스팩!$B$3:$E$5, 2, FALSE), 0)</f>
        <v>0</v>
      </c>
      <c r="L7" s="254" t="s">
        <v>43</v>
      </c>
      <c r="M7" s="255"/>
      <c r="N7" s="255"/>
      <c r="O7" s="256"/>
      <c r="R7">
        <v>6.7</v>
      </c>
      <c r="S7" s="168">
        <f>180/R7</f>
        <v>26.865671641791042</v>
      </c>
      <c r="T7" s="168">
        <f>S7/2-10</f>
        <v>3.4328358208955212</v>
      </c>
      <c r="U7" t="s">
        <v>44</v>
      </c>
    </row>
    <row r="8" spans="2:29" x14ac:dyDescent="0.45">
      <c r="B8" s="97" t="s">
        <v>45</v>
      </c>
      <c r="C8" s="170">
        <v>0</v>
      </c>
      <c r="E8" s="86" t="s">
        <v>46</v>
      </c>
      <c r="F8" s="128">
        <f>IFERROR(HLOOKUP(F5, 니케스팩!$B$3:$E$5, 3, FALSE), 0)</f>
        <v>3669974.54</v>
      </c>
      <c r="G8" s="129">
        <f>IFERROR(HLOOKUP(G5, 니케스팩!$B$3:$E$5, 3, FALSE), 0)</f>
        <v>3669974.54</v>
      </c>
      <c r="H8" s="129">
        <f>IFERROR(HLOOKUP(H5, 니케스팩!$B$3:$E$5, 3, FALSE), 0)</f>
        <v>3385513.7800000003</v>
      </c>
      <c r="I8" s="129">
        <f>IFERROR(HLOOKUP(I5, 니케스팩!$B$3:$E$5, 3, FALSE), 0)</f>
        <v>3385513.7800000003</v>
      </c>
      <c r="J8" s="130">
        <f>IFERROR(HLOOKUP(J5, 니케스팩!$B$3:$E$5, 3, FALSE), 0)</f>
        <v>0</v>
      </c>
      <c r="L8" s="100" t="s">
        <v>47</v>
      </c>
      <c r="M8" s="101" t="s">
        <v>48</v>
      </c>
      <c r="N8" s="101" t="s">
        <v>49</v>
      </c>
      <c r="O8" s="102" t="s">
        <v>50</v>
      </c>
      <c r="P8" s="166">
        <v>8</v>
      </c>
      <c r="Q8" s="220">
        <v>9</v>
      </c>
      <c r="R8">
        <v>7</v>
      </c>
      <c r="S8" s="168">
        <f>180/R8</f>
        <v>25.714285714285715</v>
      </c>
      <c r="T8" s="168">
        <f>S8/2-10</f>
        <v>2.8571428571428577</v>
      </c>
      <c r="U8" t="s">
        <v>51</v>
      </c>
    </row>
    <row r="9" spans="2:29" ht="17.5" thickBot="1" x14ac:dyDescent="0.5">
      <c r="B9" s="91" t="s">
        <v>52</v>
      </c>
      <c r="C9" s="94">
        <v>0</v>
      </c>
      <c r="E9" s="84" t="s">
        <v>53</v>
      </c>
      <c r="F9" s="131">
        <f>IFERROR(INDEX(니케스팩!$C$7:$E$12, MATCH(F6, 니케스팩!$B$7:$B$12, 0), MATCH(F5, 니케스팩!$C$3:$E$3, 0)), 0)</f>
        <v>24091.18</v>
      </c>
      <c r="G9" s="132">
        <f>IFERROR(INDEX(니케스팩!$C$7:$E$12, MATCH(G6, 니케스팩!$B$7:$B$12, 0), MATCH(G5, 니케스팩!$C$3:$E$3, 0)), 0)</f>
        <v>24091.18</v>
      </c>
      <c r="H9" s="132">
        <f>IFERROR(INDEX(니케스팩!$C$7:$E$12, MATCH(H6, 니케스팩!$B$7:$B$12, 0), MATCH(H5, 니케스팩!$C$3:$E$3, 0)), 0)</f>
        <v>20016.52</v>
      </c>
      <c r="I9" s="132">
        <f>IFERROR(INDEX(니케스팩!$C$7:$E$12, MATCH(I6, 니케스팩!$B$7:$B$12, 0), MATCH(I5, 니케스팩!$C$3:$E$3, 0)), 0)</f>
        <v>22235.1</v>
      </c>
      <c r="J9" s="133">
        <f>IFERROR(INDEX(니케스팩!$C$7:$E$12, MATCH(J6, 니케스팩!$B$7:$B$12, 0), MATCH(J5, 니케스팩!$C$3:$E$3, 0)), 0)</f>
        <v>0</v>
      </c>
      <c r="L9" s="149">
        <f>N16*6</f>
        <v>14.362924557976049</v>
      </c>
      <c r="M9" s="150">
        <f>(N14*7+N15*6)</f>
        <v>16.125446511619145</v>
      </c>
      <c r="N9" s="151">
        <f>(N15*7+N14*6)</f>
        <v>14.994223363995628</v>
      </c>
      <c r="O9" s="152">
        <f>N16*7</f>
        <v>16.756745317638725</v>
      </c>
      <c r="P9" s="167">
        <f>N16*8</f>
        <v>19.150566077301399</v>
      </c>
      <c r="Q9" s="167">
        <f>N16*9</f>
        <v>21.544386836964073</v>
      </c>
      <c r="Y9" s="5"/>
      <c r="Z9" s="5"/>
      <c r="AA9" s="5"/>
      <c r="AB9" s="5"/>
      <c r="AC9" s="5"/>
    </row>
    <row r="10" spans="2:29" ht="17.5" thickBot="1" x14ac:dyDescent="0.5">
      <c r="F10" s="5"/>
      <c r="G10" s="96"/>
      <c r="H10" s="168"/>
      <c r="I10" s="96"/>
      <c r="J10" s="96"/>
      <c r="K10" s="96"/>
      <c r="L10" t="s">
        <v>54</v>
      </c>
      <c r="R10">
        <v>7.5</v>
      </c>
      <c r="S10" s="168">
        <f>180/R10</f>
        <v>24</v>
      </c>
      <c r="T10" s="168">
        <f>S10/2-7.5</f>
        <v>4.5</v>
      </c>
      <c r="U10" t="s">
        <v>55</v>
      </c>
      <c r="Y10" s="5"/>
      <c r="Z10" s="5"/>
      <c r="AA10" s="5"/>
      <c r="AB10" s="5"/>
      <c r="AC10" s="5"/>
    </row>
    <row r="11" spans="2:29" ht="17.5" thickBot="1" x14ac:dyDescent="0.5">
      <c r="B11" s="248" t="s">
        <v>56</v>
      </c>
      <c r="C11" s="249"/>
      <c r="O11" s="243"/>
      <c r="R11">
        <v>7.8</v>
      </c>
      <c r="S11" s="168">
        <f>180/R11</f>
        <v>23.076923076923077</v>
      </c>
      <c r="T11" s="168">
        <f>S11/2-7.5</f>
        <v>4.0384615384615383</v>
      </c>
      <c r="U11" t="s">
        <v>57</v>
      </c>
    </row>
    <row r="12" spans="2:29" x14ac:dyDescent="0.45">
      <c r="B12" s="175" t="s">
        <v>58</v>
      </c>
      <c r="C12" s="176"/>
      <c r="F12" s="263"/>
      <c r="G12" s="108" t="s">
        <v>59</v>
      </c>
      <c r="H12" s="109" t="s">
        <v>60</v>
      </c>
      <c r="I12" s="109" t="s">
        <v>61</v>
      </c>
      <c r="J12" s="109" t="s">
        <v>62</v>
      </c>
      <c r="K12" s="109" t="s">
        <v>63</v>
      </c>
      <c r="L12" s="109" t="s">
        <v>64</v>
      </c>
      <c r="M12" s="119" t="s">
        <v>65</v>
      </c>
      <c r="N12" s="265" t="s">
        <v>66</v>
      </c>
      <c r="O12" s="246" t="s">
        <v>67</v>
      </c>
      <c r="R12">
        <v>8.5</v>
      </c>
      <c r="S12" s="168">
        <f>180/R12</f>
        <v>21.176470588235293</v>
      </c>
      <c r="T12" s="168">
        <f>S12/2-7.5</f>
        <v>3.0882352941176467</v>
      </c>
      <c r="U12" t="s">
        <v>68</v>
      </c>
    </row>
    <row r="13" spans="2:29" ht="17.5" thickBot="1" x14ac:dyDescent="0.5">
      <c r="B13" s="195" t="s">
        <v>69</v>
      </c>
      <c r="C13" s="196">
        <v>0</v>
      </c>
      <c r="F13" s="264"/>
      <c r="G13" s="104" t="str">
        <f>딜량계산!C4</f>
        <v>버스트</v>
      </c>
      <c r="H13" s="105" t="str">
        <f>딜량계산!D4</f>
        <v>버스투추가</v>
      </c>
      <c r="I13" s="105" t="str">
        <f>딜량계산!E4</f>
        <v>평타</v>
      </c>
      <c r="J13" s="105" t="str">
        <f>딜량계산!F4</f>
        <v>풀차지</v>
      </c>
      <c r="K13" s="105" t="str">
        <f>딜량계산!G4</f>
        <v/>
      </c>
      <c r="L13" s="105" t="str">
        <f>딜량계산!H4</f>
        <v/>
      </c>
      <c r="M13" s="120" t="str">
        <f>딜량계산!M4</f>
        <v/>
      </c>
      <c r="N13" s="266"/>
      <c r="O13" s="247"/>
      <c r="R13">
        <v>9</v>
      </c>
      <c r="S13" s="168">
        <f>180/R13</f>
        <v>20</v>
      </c>
      <c r="T13" s="168">
        <f>S13/2-7.5</f>
        <v>2.5</v>
      </c>
      <c r="U13" t="s">
        <v>70</v>
      </c>
    </row>
    <row r="14" spans="2:29" x14ac:dyDescent="0.45">
      <c r="B14" s="175" t="s">
        <v>71</v>
      </c>
      <c r="C14" s="176"/>
      <c r="F14" s="106" t="s">
        <v>72</v>
      </c>
      <c r="G14" s="140">
        <f>IF(딜량계산!C5=0,"",딜량계산!C5/100000000)</f>
        <v>0.70052092509895514</v>
      </c>
      <c r="H14" s="141">
        <f>IF(딜량계산!D5=0,"",딜량계산!D5/100000000)</f>
        <v>0.34785778681518897</v>
      </c>
      <c r="I14" s="141">
        <f>IF(딜량계산!E5+딜량계산!I5=0,"",(딜량계산!E5+딜량계산!I5)/100000000)</f>
        <v>0.32442152152627163</v>
      </c>
      <c r="J14" s="141">
        <f>IF(딜량계산!F5+딜량계산!J5=0,"",(딜량계산!F5+딜량계산!J5)/100000000)</f>
        <v>0.38972172020267987</v>
      </c>
      <c r="K14" s="141" t="str">
        <f>IF(딜량계산!G5+딜량계산!K5=0,"",(딜량계산!G5+딜량계산!K5)/100000000)</f>
        <v/>
      </c>
      <c r="L14" s="141" t="str">
        <f>IF(딜량계산!H5+딜량계산!L5=0,"",(딜량계산!H5+딜량계산!L5)/100000000)</f>
        <v/>
      </c>
      <c r="M14" s="142" t="str">
        <f>IF(딜량계산!M5=0,"",딜량계산!M5/100000000)</f>
        <v/>
      </c>
      <c r="N14" s="140">
        <f>SUM(G14:M14)</f>
        <v>1.7625219536430956</v>
      </c>
      <c r="O14" s="110">
        <f>N14/$N$16</f>
        <v>0.73627983487429582</v>
      </c>
    </row>
    <row r="15" spans="2:29" ht="17.5" thickBot="1" x14ac:dyDescent="0.5">
      <c r="B15" s="177" t="s">
        <v>73</v>
      </c>
      <c r="C15" s="178"/>
      <c r="F15" s="107" t="s">
        <v>74</v>
      </c>
      <c r="G15" s="261"/>
      <c r="H15" s="262"/>
      <c r="I15" s="143">
        <f>IF(딜량계산!N5+딜량계산!R5=0,"",(딜량계산!N5+딜량계산!R5)/100000000)</f>
        <v>0.33839504721341113</v>
      </c>
      <c r="J15" s="143">
        <f>IF(딜량계산!O5+딜량계산!S5=0,"",(딜량계산!O5+딜량계산!S5)/100000000)</f>
        <v>0.29290375880616809</v>
      </c>
      <c r="K15" s="143" t="str">
        <f>IF(딜량계산!P5+딜량계산!T5=0,"",(딜량계산!P5+딜량계산!T5)/100000000)</f>
        <v/>
      </c>
      <c r="L15" s="143" t="str">
        <f>IF(딜량계산!Q5+딜량계산!U5=0,"",(딜량계산!Q5+딜량계산!U5)/100000000)</f>
        <v/>
      </c>
      <c r="M15" s="144"/>
      <c r="N15" s="145">
        <f>SUM(I15:L15)</f>
        <v>0.63129880601957922</v>
      </c>
      <c r="O15" s="111">
        <f>N15/$N$16</f>
        <v>0.26372016512570418</v>
      </c>
    </row>
    <row r="16" spans="2:29" ht="17.5" thickBot="1" x14ac:dyDescent="0.5">
      <c r="F16" s="240" t="s">
        <v>66</v>
      </c>
      <c r="G16" s="140">
        <f t="shared" ref="G16" si="0">IF(SUM(G14:G15)=0, "", SUM(G14:G15))</f>
        <v>0.70052092509895514</v>
      </c>
      <c r="H16" s="141">
        <f t="shared" ref="H16" si="1">IF(SUM(H14:H15)=0, "", SUM(H14:H15))</f>
        <v>0.34785778681518897</v>
      </c>
      <c r="I16" s="141">
        <f t="shared" ref="I16:K16" si="2">IF(SUM(I14:I15)=0, "", SUM(I14:I15))</f>
        <v>0.66281656873968275</v>
      </c>
      <c r="J16" s="141">
        <f t="shared" si="2"/>
        <v>0.68262547900884796</v>
      </c>
      <c r="K16" s="141" t="str">
        <f t="shared" si="2"/>
        <v/>
      </c>
      <c r="L16" s="141" t="str">
        <f>IF(SUM(L14:L15)=0, "", SUM(L14:L15))</f>
        <v/>
      </c>
      <c r="M16" s="142" t="str">
        <f>IF(SUM(M14:M15)=0, "", SUM(M14:M15))</f>
        <v/>
      </c>
      <c r="N16" s="234">
        <f>N15+N14</f>
        <v>2.3938207596626748</v>
      </c>
      <c r="O16" s="232" t="s">
        <v>75</v>
      </c>
    </row>
    <row r="17" spans="2:16" ht="17.5" thickBot="1" x14ac:dyDescent="0.5">
      <c r="B17" s="248" t="s">
        <v>76</v>
      </c>
      <c r="C17" s="249"/>
      <c r="F17" s="107" t="s">
        <v>67</v>
      </c>
      <c r="G17" s="146">
        <f t="shared" ref="G17:M17" si="3">IFERROR(G16/$N$16, "")</f>
        <v>0.29263716686861257</v>
      </c>
      <c r="H17" s="147">
        <f t="shared" si="3"/>
        <v>0.14531488433754219</v>
      </c>
      <c r="I17" s="147">
        <f t="shared" si="3"/>
        <v>0.27688646531458921</v>
      </c>
      <c r="J17" s="147">
        <f t="shared" si="3"/>
        <v>0.28516148347925602</v>
      </c>
      <c r="K17" s="147" t="str">
        <f t="shared" si="3"/>
        <v/>
      </c>
      <c r="L17" s="147" t="str">
        <f t="shared" si="3"/>
        <v/>
      </c>
      <c r="M17" s="148" t="str">
        <f t="shared" si="3"/>
        <v/>
      </c>
      <c r="N17" s="235">
        <f>N16*7</f>
        <v>16.756745317638725</v>
      </c>
      <c r="O17" s="233" t="s">
        <v>77</v>
      </c>
    </row>
    <row r="18" spans="2:16" x14ac:dyDescent="0.45">
      <c r="B18" s="97" t="s">
        <v>78</v>
      </c>
      <c r="C18" s="98">
        <v>0.8</v>
      </c>
      <c r="D18" s="236">
        <v>23.56</v>
      </c>
      <c r="G18" s="99" t="str">
        <f>IF(딜량계산!C15=0,"",딜량계산!C15)</f>
        <v>스킬</v>
      </c>
      <c r="H18" s="99" t="str">
        <f>IF(딜량계산!D15=0,"",딜량계산!D15)</f>
        <v>스킬</v>
      </c>
      <c r="I18" s="99" t="str">
        <f>IF(딜량계산!E15=0,"",딜량계산!E15)</f>
        <v>RL</v>
      </c>
      <c r="J18" s="99" t="str">
        <f>IF(딜량계산!F15=0,"",딜량계산!F15)</f>
        <v>스킬</v>
      </c>
      <c r="K18" s="99" t="str">
        <f>IF(딜량계산!G15=0,"",딜량계산!G15)</f>
        <v/>
      </c>
      <c r="L18" s="99" t="str">
        <f>IF(딜량계산!H15=0,"",딜량계산!H15)</f>
        <v/>
      </c>
      <c r="M18" s="99" t="str">
        <f>IF(딜량계산!M15=0,"",딜량계산!M15)</f>
        <v/>
      </c>
    </row>
    <row r="19" spans="2:16" x14ac:dyDescent="0.45">
      <c r="B19" s="89" t="s">
        <v>42</v>
      </c>
      <c r="C19" s="90">
        <v>0.2</v>
      </c>
      <c r="D19" s="236">
        <v>11.81</v>
      </c>
    </row>
    <row r="20" spans="2:16" x14ac:dyDescent="0.45">
      <c r="B20" s="89" t="s">
        <v>79</v>
      </c>
      <c r="C20" s="90">
        <v>1.2</v>
      </c>
      <c r="D20" s="236">
        <v>68.930000000000007</v>
      </c>
    </row>
    <row r="21" spans="2:16" x14ac:dyDescent="0.45">
      <c r="B21" s="89" t="s">
        <v>80</v>
      </c>
      <c r="C21" s="90">
        <v>0</v>
      </c>
      <c r="D21" s="236">
        <v>5.7</v>
      </c>
      <c r="F21" s="6"/>
      <c r="N21" s="237"/>
      <c r="P21">
        <f>1.83/1.7</f>
        <v>1.0764705882352943</v>
      </c>
    </row>
    <row r="22" spans="2:16" x14ac:dyDescent="0.45">
      <c r="B22" s="89" t="s">
        <v>81</v>
      </c>
      <c r="C22" s="90">
        <v>0</v>
      </c>
      <c r="D22" s="236">
        <v>16.440000000000001</v>
      </c>
      <c r="F22" s="245"/>
      <c r="G22" s="5"/>
    </row>
    <row r="23" spans="2:16" x14ac:dyDescent="0.45">
      <c r="B23" s="89" t="s">
        <v>82</v>
      </c>
      <c r="C23" s="90">
        <v>0</v>
      </c>
      <c r="D23" s="236">
        <v>11.81</v>
      </c>
      <c r="F23" s="5"/>
    </row>
    <row r="24" spans="2:16" x14ac:dyDescent="0.45">
      <c r="B24" s="89" t="s">
        <v>83</v>
      </c>
      <c r="C24" s="90">
        <v>0</v>
      </c>
      <c r="D24" s="236">
        <v>4.92</v>
      </c>
    </row>
    <row r="25" spans="2:16" x14ac:dyDescent="0.45">
      <c r="B25" s="89" t="s">
        <v>84</v>
      </c>
      <c r="C25" s="90">
        <v>0</v>
      </c>
      <c r="D25" s="236">
        <v>11.81</v>
      </c>
    </row>
    <row r="26" spans="2:16" ht="17.5" thickBot="1" x14ac:dyDescent="0.5">
      <c r="B26" s="91" t="s">
        <v>53</v>
      </c>
      <c r="C26" s="92">
        <v>0</v>
      </c>
      <c r="D26" s="236">
        <v>11.81</v>
      </c>
      <c r="F26" s="5"/>
    </row>
    <row r="29" spans="2:16" ht="34" x14ac:dyDescent="0.45">
      <c r="B29" s="182" t="s">
        <v>85</v>
      </c>
      <c r="C29" t="s">
        <v>86</v>
      </c>
    </row>
    <row r="30" spans="2:16" x14ac:dyDescent="0.45">
      <c r="B30" t="s">
        <v>87</v>
      </c>
    </row>
    <row r="31" spans="2:16" x14ac:dyDescent="0.45">
      <c r="J31">
        <v>50</v>
      </c>
      <c r="K31" s="1">
        <v>0.18</v>
      </c>
      <c r="N31">
        <f>0.64+0.32</f>
        <v>0.96</v>
      </c>
    </row>
    <row r="32" spans="2:16" x14ac:dyDescent="0.45">
      <c r="B32" t="s">
        <v>88</v>
      </c>
      <c r="C32" t="s">
        <v>89</v>
      </c>
      <c r="D32" t="s">
        <v>90</v>
      </c>
      <c r="E32" t="s">
        <v>91</v>
      </c>
      <c r="F32" t="s">
        <v>92</v>
      </c>
      <c r="G32" t="s">
        <v>93</v>
      </c>
      <c r="I32">
        <v>1</v>
      </c>
      <c r="J32">
        <f>240-K31*218</f>
        <v>200.76</v>
      </c>
      <c r="K32" s="179">
        <f>I32*(J31/MAX(J31,(240-K31*218)))</f>
        <v>0.24905359633393107</v>
      </c>
    </row>
    <row r="33" spans="2:14" x14ac:dyDescent="0.45">
      <c r="D33" t="s">
        <v>94</v>
      </c>
      <c r="E33" t="s">
        <v>95</v>
      </c>
      <c r="J33">
        <f>110-K31*100</f>
        <v>92</v>
      </c>
      <c r="K33" s="179">
        <f>MIN(1,(J31/MAX(J31,(110-K31*100))))</f>
        <v>0.54347826086956519</v>
      </c>
    </row>
    <row r="34" spans="2:14" x14ac:dyDescent="0.45">
      <c r="D34" t="s">
        <v>96</v>
      </c>
      <c r="E34" t="s">
        <v>97</v>
      </c>
      <c r="I34">
        <v>1</v>
      </c>
      <c r="J34" s="168">
        <f>76-K31*69</f>
        <v>63.58</v>
      </c>
      <c r="K34" s="179">
        <f>I34*MIN(1,(J31/MAX(J31,(76-K31*69))))</f>
        <v>0.78641082101289717</v>
      </c>
    </row>
    <row r="35" spans="2:14" x14ac:dyDescent="0.45">
      <c r="J35" s="181" t="s">
        <v>98</v>
      </c>
    </row>
    <row r="36" spans="2:14" x14ac:dyDescent="0.45">
      <c r="J36" t="s">
        <v>99</v>
      </c>
    </row>
    <row r="38" spans="2:14" x14ac:dyDescent="0.45">
      <c r="B38" t="s">
        <v>100</v>
      </c>
      <c r="D38" t="s">
        <v>101</v>
      </c>
      <c r="L38" s="182"/>
    </row>
    <row r="39" spans="2:14" x14ac:dyDescent="0.45">
      <c r="D39" t="s">
        <v>102</v>
      </c>
    </row>
    <row r="40" spans="2:14" x14ac:dyDescent="0.45">
      <c r="D40" t="s">
        <v>103</v>
      </c>
    </row>
    <row r="42" spans="2:14" ht="51" x14ac:dyDescent="0.45">
      <c r="M42" t="s">
        <v>104</v>
      </c>
      <c r="N42" s="182" t="s">
        <v>105</v>
      </c>
    </row>
    <row r="43" spans="2:14" ht="51" x14ac:dyDescent="0.45">
      <c r="M43" t="s">
        <v>106</v>
      </c>
      <c r="N43" s="182" t="s">
        <v>107</v>
      </c>
    </row>
    <row r="44" spans="2:14" ht="34" x14ac:dyDescent="0.45">
      <c r="F44" t="s">
        <v>108</v>
      </c>
      <c r="M44" t="s">
        <v>109</v>
      </c>
      <c r="N44" s="182" t="s">
        <v>110</v>
      </c>
    </row>
    <row r="45" spans="2:14" x14ac:dyDescent="0.45">
      <c r="F45">
        <v>50</v>
      </c>
    </row>
    <row r="47" spans="2:14" x14ac:dyDescent="0.45">
      <c r="F47" t="s">
        <v>111</v>
      </c>
      <c r="G47" t="s">
        <v>112</v>
      </c>
      <c r="H47" s="182"/>
    </row>
    <row r="48" spans="2:14" x14ac:dyDescent="0.45">
      <c r="E48" t="s">
        <v>113</v>
      </c>
      <c r="F48" s="168">
        <v>240</v>
      </c>
      <c r="G48" s="168">
        <f>F48/1.1</f>
        <v>218.18181818181816</v>
      </c>
      <c r="H48" s="168"/>
    </row>
    <row r="49" spans="3:11" x14ac:dyDescent="0.45">
      <c r="F49" s="168" t="s">
        <v>114</v>
      </c>
      <c r="G49" s="168" t="s">
        <v>115</v>
      </c>
      <c r="H49" t="s">
        <v>116</v>
      </c>
      <c r="I49" t="s">
        <v>117</v>
      </c>
    </row>
    <row r="50" spans="3:11" x14ac:dyDescent="0.45">
      <c r="E50" s="183">
        <v>0.75600000000000001</v>
      </c>
      <c r="F50" s="168">
        <f>$F$48-$G$48*E50</f>
        <v>75.054545454545462</v>
      </c>
      <c r="G50" s="168">
        <f>$F$45/F50</f>
        <v>0.66618217054263562</v>
      </c>
      <c r="H50">
        <v>0.4</v>
      </c>
      <c r="I50" s="4">
        <v>4.62E-3</v>
      </c>
      <c r="J50">
        <f>(1.5+H50)/1.5/E50</f>
        <v>1.6754850088183422</v>
      </c>
      <c r="K50" s="184">
        <f>G50^2</f>
        <v>0.44379868434889724</v>
      </c>
    </row>
    <row r="51" spans="3:11" x14ac:dyDescent="0.45">
      <c r="E51" s="183">
        <v>0.85</v>
      </c>
      <c r="F51" s="168">
        <f>$F$48-$G$48*E51</f>
        <v>54.545454545454561</v>
      </c>
      <c r="G51" s="168">
        <f>$F$45/F51</f>
        <v>0.91666666666666641</v>
      </c>
      <c r="H51">
        <v>0.9</v>
      </c>
      <c r="I51" s="3">
        <v>0.01</v>
      </c>
      <c r="K51" s="184">
        <f>G51^2</f>
        <v>0.84027777777777735</v>
      </c>
    </row>
    <row r="52" spans="3:11" x14ac:dyDescent="0.45">
      <c r="I52" s="4"/>
    </row>
    <row r="55" spans="3:11" x14ac:dyDescent="0.45">
      <c r="F55" t="s">
        <v>111</v>
      </c>
      <c r="G55" t="s">
        <v>112</v>
      </c>
      <c r="H55" s="182"/>
    </row>
    <row r="56" spans="3:11" x14ac:dyDescent="0.45">
      <c r="F56" s="168">
        <v>76</v>
      </c>
      <c r="G56" s="168">
        <f>F56/1.1</f>
        <v>69.090909090909079</v>
      </c>
      <c r="H56" s="168"/>
      <c r="J56">
        <f>F56/1.1</f>
        <v>69.090909090909079</v>
      </c>
    </row>
    <row r="57" spans="3:11" x14ac:dyDescent="0.45">
      <c r="E57" t="s">
        <v>118</v>
      </c>
      <c r="F57" t="s">
        <v>119</v>
      </c>
      <c r="G57" t="s">
        <v>120</v>
      </c>
      <c r="H57" t="s">
        <v>116</v>
      </c>
      <c r="I57" t="s">
        <v>117</v>
      </c>
      <c r="J57" t="s">
        <v>121</v>
      </c>
    </row>
    <row r="58" spans="3:11" x14ac:dyDescent="0.45">
      <c r="E58" s="183">
        <v>0.22</v>
      </c>
      <c r="F58" s="168">
        <f>$F$56-$G$56*E58</f>
        <v>60.800000000000004</v>
      </c>
      <c r="G58" s="168">
        <f>$F$45/F58</f>
        <v>0.82236842105263153</v>
      </c>
      <c r="H58">
        <v>0.8</v>
      </c>
      <c r="I58" s="4">
        <v>1.7299999999999999E-2</v>
      </c>
      <c r="K58" s="184">
        <f>G58^2</f>
        <v>0.67628981994459825</v>
      </c>
    </row>
    <row r="59" spans="3:11" x14ac:dyDescent="0.45">
      <c r="E59" s="183">
        <v>0.62</v>
      </c>
      <c r="F59" s="168">
        <f>$F$56-$G$56*E59</f>
        <v>33.163636363636371</v>
      </c>
      <c r="G59" s="168">
        <f>$F$45/F59</f>
        <v>1.5076754385964908</v>
      </c>
      <c r="I59" s="4"/>
      <c r="K59" s="184">
        <f>G59^2</f>
        <v>2.2730852281471208</v>
      </c>
    </row>
    <row r="61" spans="3:11" x14ac:dyDescent="0.45">
      <c r="C61">
        <v>24</v>
      </c>
      <c r="D61" t="s">
        <v>122</v>
      </c>
      <c r="E61" s="183">
        <v>0.1812</v>
      </c>
      <c r="F61" s="168">
        <f>$F$56-$G$56*E61</f>
        <v>63.480727272727279</v>
      </c>
      <c r="G61" s="168">
        <f>F61/$C$61</f>
        <v>2.6450303030303033</v>
      </c>
      <c r="H61">
        <v>0.14000000000000001</v>
      </c>
    </row>
    <row r="62" spans="3:11" x14ac:dyDescent="0.45">
      <c r="E62" s="183">
        <v>0.62170000000000003</v>
      </c>
      <c r="F62" s="168">
        <f>$F$56-$G$56*E62</f>
        <v>33.046181818181822</v>
      </c>
      <c r="G62" s="168">
        <f t="shared" ref="G62" si="4">F62/$C$61</f>
        <v>1.3769242424242425</v>
      </c>
      <c r="H62">
        <v>0.55000000000000004</v>
      </c>
    </row>
    <row r="63" spans="3:11" x14ac:dyDescent="0.45">
      <c r="G63" s="168"/>
    </row>
    <row r="70" spans="7:11" x14ac:dyDescent="0.45">
      <c r="G70">
        <v>1</v>
      </c>
      <c r="H70">
        <v>1</v>
      </c>
    </row>
    <row r="71" spans="7:11" x14ac:dyDescent="0.45">
      <c r="G71" s="168">
        <f>G50</f>
        <v>0.66618217054263562</v>
      </c>
      <c r="H71" s="168">
        <f>H50</f>
        <v>0.4</v>
      </c>
    </row>
    <row r="72" spans="7:11" x14ac:dyDescent="0.45">
      <c r="G72" s="168">
        <f>G51</f>
        <v>0.91666666666666641</v>
      </c>
      <c r="H72" s="168">
        <f>H51</f>
        <v>0.9</v>
      </c>
    </row>
    <row r="73" spans="7:11" x14ac:dyDescent="0.45">
      <c r="G73" s="168">
        <f>G58</f>
        <v>0.82236842105263153</v>
      </c>
      <c r="H73">
        <f>H58</f>
        <v>0.8</v>
      </c>
    </row>
    <row r="75" spans="7:11" x14ac:dyDescent="0.45">
      <c r="G75" s="168"/>
      <c r="H75" s="168"/>
    </row>
    <row r="77" spans="7:11" x14ac:dyDescent="0.45">
      <c r="H77" s="3"/>
      <c r="J77" t="s">
        <v>123</v>
      </c>
      <c r="K77" t="s">
        <v>123</v>
      </c>
    </row>
    <row r="78" spans="7:11" x14ac:dyDescent="0.45">
      <c r="H78" s="3"/>
      <c r="J78">
        <v>30</v>
      </c>
      <c r="K78">
        <v>30</v>
      </c>
    </row>
    <row r="79" spans="7:11" x14ac:dyDescent="0.45">
      <c r="J79" t="s">
        <v>124</v>
      </c>
      <c r="K79" t="s">
        <v>125</v>
      </c>
    </row>
    <row r="80" spans="7:11" x14ac:dyDescent="0.45">
      <c r="G80" t="s">
        <v>126</v>
      </c>
      <c r="H80" s="3">
        <v>0.26440000000000002</v>
      </c>
      <c r="I80" s="168">
        <f>$F$48-$G$48*H80</f>
        <v>182.31272727272727</v>
      </c>
      <c r="J80" s="168">
        <f>J$78/$I80</f>
        <v>0.16455241742460508</v>
      </c>
      <c r="K80" s="168">
        <f>(K$78/$I80)^2</f>
        <v>2.7077498080281474E-2</v>
      </c>
    </row>
    <row r="81" spans="6:11" x14ac:dyDescent="0.45">
      <c r="F81" s="182"/>
      <c r="G81" t="s">
        <v>127</v>
      </c>
      <c r="H81" s="3">
        <v>0.1236</v>
      </c>
      <c r="I81" s="168">
        <f>$F$48-$G$48*H81</f>
        <v>213.03272727272727</v>
      </c>
      <c r="J81" s="168">
        <f t="shared" ref="J81:J83" si="5">J$78/$I81</f>
        <v>0.1408234330192544</v>
      </c>
      <c r="K81" s="168">
        <f t="shared" ref="K81:K83" si="6">(K$78/$I81)^2</f>
        <v>1.9831239287328432E-2</v>
      </c>
    </row>
    <row r="82" spans="6:11" x14ac:dyDescent="0.45">
      <c r="G82" t="s">
        <v>128</v>
      </c>
      <c r="H82" s="3">
        <v>0</v>
      </c>
      <c r="I82" s="168">
        <f>$F$48-$G$48*H82</f>
        <v>240</v>
      </c>
      <c r="J82" s="168">
        <f t="shared" si="5"/>
        <v>0.125</v>
      </c>
      <c r="K82" s="168">
        <f t="shared" si="6"/>
        <v>1.5625E-2</v>
      </c>
    </row>
    <row r="83" spans="6:11" x14ac:dyDescent="0.45">
      <c r="G83" t="s">
        <v>129</v>
      </c>
      <c r="H83" s="3">
        <v>0</v>
      </c>
      <c r="I83" s="168">
        <f>$F$48-$G$48*H83</f>
        <v>240</v>
      </c>
      <c r="J83" s="168">
        <f t="shared" si="5"/>
        <v>0.125</v>
      </c>
      <c r="K83" s="168">
        <f t="shared" si="6"/>
        <v>1.5625E-2</v>
      </c>
    </row>
    <row r="85" spans="6:11" x14ac:dyDescent="0.45">
      <c r="G85" t="s">
        <v>130</v>
      </c>
      <c r="H85" s="3">
        <v>0</v>
      </c>
      <c r="I85" s="168">
        <f>76*(1-1.1*H85)</f>
        <v>76</v>
      </c>
      <c r="J85" s="168">
        <f>J$78/$I85</f>
        <v>0.39473684210526316</v>
      </c>
      <c r="K85" s="168">
        <f>(K$78/$I85)^2</f>
        <v>0.15581717451523547</v>
      </c>
    </row>
    <row r="86" spans="6:11" x14ac:dyDescent="0.45">
      <c r="G86" t="s">
        <v>131</v>
      </c>
      <c r="H86" s="3">
        <f>11.81%+11.11%</f>
        <v>0.22920000000000001</v>
      </c>
      <c r="I86" s="168">
        <f>76*(1-1.1*H86)</f>
        <v>56.838879999999996</v>
      </c>
      <c r="J86" s="168">
        <f>J$78/$I86</f>
        <v>0.52780772597911851</v>
      </c>
      <c r="K86" s="168">
        <f>(K$78/$I86)^2</f>
        <v>0.27858099560324828</v>
      </c>
    </row>
    <row r="88" spans="6:11" x14ac:dyDescent="0.45">
      <c r="G88" t="s">
        <v>132</v>
      </c>
      <c r="H88" s="4">
        <v>0.1181</v>
      </c>
      <c r="I88">
        <f>100*(1-1.1*H88)</f>
        <v>87.009</v>
      </c>
      <c r="J88" s="168">
        <f>J$78/$I88</f>
        <v>0.34479191807744025</v>
      </c>
      <c r="K88" s="168">
        <f>(K$78/$I88)^2</f>
        <v>0.11888146677152027</v>
      </c>
    </row>
    <row r="90" spans="6:11" x14ac:dyDescent="0.45">
      <c r="H90" s="3"/>
      <c r="I90" s="168"/>
      <c r="J90" s="168"/>
      <c r="K90" s="168"/>
    </row>
    <row r="91" spans="6:11" x14ac:dyDescent="0.45">
      <c r="H91" s="3"/>
      <c r="I91" s="168"/>
      <c r="J91" s="168"/>
      <c r="K91" s="168"/>
    </row>
  </sheetData>
  <mergeCells count="11">
    <mergeCell ref="O12:O13"/>
    <mergeCell ref="B17:C17"/>
    <mergeCell ref="E2:J2"/>
    <mergeCell ref="M2:O2"/>
    <mergeCell ref="L7:O7"/>
    <mergeCell ref="O4:O5"/>
    <mergeCell ref="B2:C2"/>
    <mergeCell ref="G15:H15"/>
    <mergeCell ref="F12:F13"/>
    <mergeCell ref="N12:N13"/>
    <mergeCell ref="B11:C11"/>
  </mergeCells>
  <phoneticPr fontId="2" type="noConversion"/>
  <hyperlinks>
    <hyperlink ref="J35" r:id="rId1" xr:uid="{0836C554-133D-4BEA-AF76-8139D1F9ED5F}"/>
  </hyperlinks>
  <pageMargins left="0.7" right="0.7" top="0.75" bottom="0.75" header="0.3" footer="0.3"/>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594152C-876F-4511-A332-EEA22270BBBB}">
          <x14:formula1>
            <xm:f>니케목록!$A:$A</xm:f>
          </x14:formula1>
          <xm:sqref>G4:J4</xm:sqref>
        </x14:dataValidation>
        <x14:dataValidation type="list" allowBlank="1" showInputMessage="1" showErrorMessage="1" xr:uid="{8941655D-A6F6-4086-A03A-723CB62F48CC}">
          <x14:formula1>
            <xm:f>니케목록!$D:$D</xm:f>
          </x14:formula1>
          <xm:sqref>F4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7A69C-DEAC-4825-B890-BA8260D8255B}">
  <dimension ref="A1:E701"/>
  <sheetViews>
    <sheetView topLeftCell="A37" zoomScale="70" zoomScaleNormal="70" workbookViewId="0">
      <selection activeCell="E53" sqref="E53"/>
    </sheetView>
  </sheetViews>
  <sheetFormatPr defaultRowHeight="17" x14ac:dyDescent="0.45"/>
  <cols>
    <col min="1" max="1" width="11.58203125" style="9" bestFit="1" customWidth="1"/>
    <col min="2" max="2" width="80.83203125" bestFit="1" customWidth="1"/>
    <col min="3" max="3" width="4.83203125" customWidth="1"/>
    <col min="4" max="4" width="11.58203125" style="9" bestFit="1" customWidth="1"/>
    <col min="5" max="5" width="80.83203125" bestFit="1" customWidth="1"/>
  </cols>
  <sheetData>
    <row r="1" spans="1:5" x14ac:dyDescent="0.45">
      <c r="A1" s="9" t="s">
        <v>133</v>
      </c>
      <c r="B1" t="s">
        <v>134</v>
      </c>
      <c r="D1" s="9" t="s">
        <v>135</v>
      </c>
      <c r="E1" t="s">
        <v>134</v>
      </c>
    </row>
    <row r="2" spans="1:5" x14ac:dyDescent="0.45">
      <c r="A2" s="9" t="str" cm="1">
        <f t="array" ref="A2:A701">TRANSPOSE(INDEX(서포터데이터!$1:$1,3+(COLUMN($A$2:$ZX$2)-1)*6))</f>
        <v>세이렌</v>
      </c>
      <c r="D2" s="9" t="str" cm="1">
        <f t="array" ref="D2:D701">TRANSPOSE(INDEX(딜러데이터!$1:$1,3+(COLUMN($A$2:$ZX$2)-1)*6))</f>
        <v>라피</v>
      </c>
    </row>
    <row r="3" spans="1:5" x14ac:dyDescent="0.45">
      <c r="A3" s="9" t="str">
        <v>세이렌(토템)</v>
      </c>
      <c r="D3" s="9" t="str">
        <v>흑련(앨)</v>
      </c>
      <c r="E3" t="s">
        <v>136</v>
      </c>
    </row>
    <row r="4" spans="1:5" x14ac:dyDescent="0.45">
      <c r="A4" s="9" t="str">
        <v>크라운</v>
      </c>
      <c r="D4" s="9" t="str">
        <v>흑련</v>
      </c>
    </row>
    <row r="5" spans="1:5" x14ac:dyDescent="0.45">
      <c r="A5" s="9" t="str">
        <v>크라운(노힐)</v>
      </c>
      <c r="D5" s="9" t="str">
        <v>신데렐라</v>
      </c>
    </row>
    <row r="6" spans="1:5" x14ac:dyDescent="0.45">
      <c r="A6" s="9" t="str">
        <v>크라운(노힐토템)</v>
      </c>
      <c r="D6" s="9" t="str">
        <v>미하라</v>
      </c>
    </row>
    <row r="7" spans="1:5" x14ac:dyDescent="0.45">
      <c r="A7" s="9" t="str">
        <v>헬름</v>
      </c>
      <c r="B7" t="s">
        <v>137</v>
      </c>
      <c r="D7" s="9" t="str">
        <v>미하라(미)</v>
      </c>
      <c r="E7" t="s">
        <v>138</v>
      </c>
    </row>
    <row r="8" spans="1:5" x14ac:dyDescent="0.45">
      <c r="A8" s="9" t="str">
        <v>세이렌(토템)</v>
      </c>
      <c r="D8" s="9" t="str">
        <v>미하라(토템)</v>
      </c>
    </row>
    <row r="9" spans="1:5" x14ac:dyDescent="0.45">
      <c r="A9" s="9" t="str">
        <v>마스트</v>
      </c>
      <c r="B9" t="s">
        <v>139</v>
      </c>
      <c r="D9" s="9" t="str">
        <v>수로시</v>
      </c>
    </row>
    <row r="10" spans="1:5" x14ac:dyDescent="0.45">
      <c r="A10" s="9" t="str">
        <v>앵커</v>
      </c>
      <c r="B10" t="s">
        <v>140</v>
      </c>
      <c r="D10" s="9" t="str">
        <v>수로시(레오나)</v>
      </c>
    </row>
    <row r="11" spans="1:5" x14ac:dyDescent="0.45">
      <c r="A11" s="9" t="str">
        <v>마스트(타버)</v>
      </c>
      <c r="B11" t="s">
        <v>139</v>
      </c>
      <c r="D11" s="9" t="str">
        <v>헬름</v>
      </c>
    </row>
    <row r="12" spans="1:5" x14ac:dyDescent="0.45">
      <c r="A12" s="9" t="str">
        <v>앵커(자버)</v>
      </c>
      <c r="B12" t="s">
        <v>140</v>
      </c>
      <c r="D12" s="9" t="str">
        <v>레드후드</v>
      </c>
    </row>
    <row r="13" spans="1:5" x14ac:dyDescent="0.45">
      <c r="A13" s="9" t="str">
        <v>리타</v>
      </c>
      <c r="D13" s="9" t="str">
        <v>앨리스</v>
      </c>
      <c r="E13" t="s">
        <v>141</v>
      </c>
    </row>
    <row r="14" spans="1:5" x14ac:dyDescent="0.45">
      <c r="A14" s="9" t="str">
        <v>볼륨</v>
      </c>
      <c r="D14" s="9" t="str">
        <v>이사벨</v>
      </c>
    </row>
    <row r="15" spans="1:5" x14ac:dyDescent="0.45">
      <c r="A15" s="9" t="str">
        <v>블랑</v>
      </c>
      <c r="B15" t="s">
        <v>142</v>
      </c>
      <c r="D15" s="9" t="str">
        <v>클루드</v>
      </c>
    </row>
    <row r="16" spans="1:5" x14ac:dyDescent="0.45">
      <c r="A16" s="9" t="str">
        <v>누아르</v>
      </c>
      <c r="B16" t="s">
        <v>143</v>
      </c>
      <c r="D16" s="9" t="str">
        <v>드레이크</v>
      </c>
    </row>
    <row r="17" spans="1:5" x14ac:dyDescent="0.45">
      <c r="A17" s="9" t="str">
        <v>루주</v>
      </c>
      <c r="D17" s="9" t="str">
        <v>수니스</v>
      </c>
    </row>
    <row r="18" spans="1:5" x14ac:dyDescent="0.45">
      <c r="A18" s="9" t="str">
        <v>레드후드(자버)</v>
      </c>
      <c r="D18" s="9" t="str">
        <v>수니스(프바)</v>
      </c>
    </row>
    <row r="19" spans="1:5" x14ac:dyDescent="0.45">
      <c r="A19" s="9" t="str">
        <v>레드후드(타버)</v>
      </c>
      <c r="D19" s="9" t="str">
        <v>아인</v>
      </c>
    </row>
    <row r="20" spans="1:5" x14ac:dyDescent="0.45">
      <c r="A20" s="9" t="str">
        <v>나가(단독)</v>
      </c>
      <c r="D20" s="9" t="str">
        <v>아인(미)</v>
      </c>
    </row>
    <row r="21" spans="1:5" x14ac:dyDescent="0.45">
      <c r="A21" s="9" t="str">
        <v>나가</v>
      </c>
      <c r="D21" s="9" t="str">
        <v>홍련</v>
      </c>
      <c r="E21" t="s">
        <v>144</v>
      </c>
    </row>
    <row r="22" spans="1:5" x14ac:dyDescent="0.45">
      <c r="A22" s="9" t="str">
        <v>티아</v>
      </c>
      <c r="D22" s="9" t="str">
        <v>모더니아</v>
      </c>
      <c r="E22" t="s">
        <v>145</v>
      </c>
    </row>
    <row r="23" spans="1:5" x14ac:dyDescent="0.45">
      <c r="A23" s="9" t="str">
        <v>나가(토템)</v>
      </c>
      <c r="D23" s="9" t="str">
        <v>클이든</v>
      </c>
      <c r="E23" t="s">
        <v>146</v>
      </c>
    </row>
    <row r="24" spans="1:5" x14ac:dyDescent="0.45">
      <c r="A24" s="9" t="str">
        <v>은화(단독)</v>
      </c>
      <c r="D24" s="9" t="str">
        <v>클이든(토템)</v>
      </c>
    </row>
    <row r="25" spans="1:5" x14ac:dyDescent="0.45">
      <c r="A25" s="9" t="str">
        <v>은화</v>
      </c>
      <c r="D25" s="9" t="str">
        <v>엑시아</v>
      </c>
    </row>
    <row r="26" spans="1:5" x14ac:dyDescent="0.45">
      <c r="A26" s="9" t="str">
        <v>엠마</v>
      </c>
      <c r="D26" s="9" t="str">
        <v>메프바</v>
      </c>
    </row>
    <row r="27" spans="1:5" x14ac:dyDescent="0.45">
      <c r="A27" s="9" t="str">
        <v>토브</v>
      </c>
      <c r="B27" t="s">
        <v>147</v>
      </c>
      <c r="D27" s="9" t="str">
        <v>메프바(레오나)</v>
      </c>
    </row>
    <row r="28" spans="1:5" x14ac:dyDescent="0.45">
      <c r="A28" s="9" t="str">
        <v>드레이크</v>
      </c>
      <c r="B28" t="s">
        <v>148</v>
      </c>
      <c r="D28" s="9" t="str">
        <v>마나</v>
      </c>
    </row>
    <row r="29" spans="1:5" x14ac:dyDescent="0.45">
      <c r="A29" s="9" t="str">
        <v>레오나</v>
      </c>
      <c r="B29" t="s">
        <v>147</v>
      </c>
      <c r="D29" s="9" t="str">
        <v>율리아</v>
      </c>
    </row>
    <row r="30" spans="1:5" x14ac:dyDescent="0.45">
      <c r="A30" s="9" t="str">
        <v>아르카나(이사벨)</v>
      </c>
      <c r="B30" t="s">
        <v>149</v>
      </c>
      <c r="D30" s="9" t="str">
        <v>라플라스</v>
      </c>
    </row>
    <row r="31" spans="1:5" x14ac:dyDescent="0.45">
      <c r="A31" s="9" t="str">
        <v>아르카나(전격)</v>
      </c>
      <c r="B31" t="s">
        <v>150</v>
      </c>
      <c r="D31" s="9" t="str">
        <v>라플라스(파츠)</v>
      </c>
    </row>
    <row r="32" spans="1:5" x14ac:dyDescent="0.45">
      <c r="A32" s="9" t="str">
        <v>그레이브</v>
      </c>
      <c r="D32" s="9" t="str">
        <v>이브</v>
      </c>
    </row>
    <row r="33" spans="1:5" x14ac:dyDescent="0.45">
      <c r="A33" s="9" t="str">
        <v>동디(SR)</v>
      </c>
      <c r="D33" s="9" t="str">
        <v>레이븐</v>
      </c>
    </row>
    <row r="34" spans="1:5" x14ac:dyDescent="0.45">
      <c r="A34" s="9" t="str">
        <v>동디</v>
      </c>
      <c r="D34" s="9" t="str">
        <v>레이븐(파츠)</v>
      </c>
      <c r="E34" t="s">
        <v>138</v>
      </c>
    </row>
    <row r="35" spans="1:5" x14ac:dyDescent="0.45">
      <c r="A35" s="9" t="str">
        <v>수니스</v>
      </c>
      <c r="B35" t="s">
        <v>151</v>
      </c>
      <c r="D35" s="9" t="str">
        <v>스화</v>
      </c>
    </row>
    <row r="36" spans="1:5" x14ac:dyDescent="0.45">
      <c r="A36" s="9" t="str">
        <v>클이든</v>
      </c>
      <c r="B36" t="s">
        <v>152</v>
      </c>
      <c r="D36" s="9" t="str">
        <v>맥스웰</v>
      </c>
    </row>
    <row r="37" spans="1:5" x14ac:dyDescent="0.45">
      <c r="A37" s="9" t="str">
        <v>클이든(3버)</v>
      </c>
      <c r="D37" s="9" t="str">
        <v>바밀크</v>
      </c>
    </row>
    <row r="38" spans="1:5" x14ac:dyDescent="0.45">
      <c r="A38" s="9" t="str">
        <v>클루드</v>
      </c>
      <c r="B38" t="s">
        <v>153</v>
      </c>
      <c r="D38" s="9" t="str">
        <v>수레그</v>
      </c>
      <c r="E38" t="s">
        <v>145</v>
      </c>
    </row>
    <row r="39" spans="1:5" x14ac:dyDescent="0.45">
      <c r="A39" s="9" t="str">
        <v>트리나(홍련)</v>
      </c>
      <c r="B39" t="s">
        <v>154</v>
      </c>
      <c r="D39" s="9" t="str">
        <v>클드밀라</v>
      </c>
    </row>
    <row r="40" spans="1:5" x14ac:dyDescent="0.45">
      <c r="A40" s="9" t="str">
        <v>트리나(자버홍련)</v>
      </c>
      <c r="B40" t="s">
        <v>155</v>
      </c>
      <c r="D40" s="9" t="str">
        <v>수쿠라</v>
      </c>
    </row>
    <row r="41" spans="1:5" x14ac:dyDescent="0.45">
      <c r="A41" s="9" t="str">
        <v>트리나</v>
      </c>
      <c r="B41" t="s">
        <v>156</v>
      </c>
      <c r="D41" s="9" t="str">
        <v>수쿠라(파츠)</v>
      </c>
    </row>
    <row r="42" spans="1:5" x14ac:dyDescent="0.45">
      <c r="A42" s="9" t="str">
        <v>도라(타버)</v>
      </c>
      <c r="D42" s="9" t="str">
        <v>퀸시</v>
      </c>
    </row>
    <row r="43" spans="1:5" x14ac:dyDescent="0.45">
      <c r="A43" s="9" t="str">
        <v>엑시아</v>
      </c>
      <c r="B43" t="s">
        <v>157</v>
      </c>
      <c r="D43" s="9" t="str">
        <v>팬텀</v>
      </c>
    </row>
    <row r="44" spans="1:5" x14ac:dyDescent="0.45">
      <c r="A44" s="9" t="str">
        <v>엑시아(토템)</v>
      </c>
      <c r="D44" s="9" t="str">
        <v>클로틴</v>
      </c>
    </row>
    <row r="45" spans="1:5" x14ac:dyDescent="0.45">
      <c r="A45" s="9" t="str">
        <v>미란다</v>
      </c>
      <c r="D45" s="9" t="str">
        <v>브래디</v>
      </c>
      <c r="E45" t="s">
        <v>158</v>
      </c>
    </row>
    <row r="46" spans="1:5" x14ac:dyDescent="0.45">
      <c r="A46" s="9" t="str">
        <v>바이드</v>
      </c>
      <c r="D46" s="9" t="str">
        <v>브래디(지속)</v>
      </c>
    </row>
    <row r="47" spans="1:5" x14ac:dyDescent="0.45">
      <c r="A47" s="9" t="str">
        <v>에이다</v>
      </c>
      <c r="D47" s="9" t="str">
        <v>바소다</v>
      </c>
    </row>
    <row r="48" spans="1:5" x14ac:dyDescent="0.45">
      <c r="A48" s="9" t="str">
        <v>수헬름</v>
      </c>
      <c r="D48" s="9" t="str">
        <v>에이다</v>
      </c>
    </row>
    <row r="49" spans="1:5" x14ac:dyDescent="0.45">
      <c r="A49" s="9" t="str">
        <v>라피</v>
      </c>
      <c r="D49" s="9" t="str">
        <v>에이다(미)</v>
      </c>
      <c r="E49" t="s">
        <v>138</v>
      </c>
    </row>
    <row r="50" spans="1:5" x14ac:dyDescent="0.45">
      <c r="A50" s="9" t="str">
        <v>크라운델타</v>
      </c>
      <c r="D50" s="9" t="str">
        <v>질</v>
      </c>
    </row>
    <row r="51" spans="1:5" x14ac:dyDescent="0.45">
      <c r="A51" s="9" t="str">
        <v>델타크라운</v>
      </c>
      <c r="D51" s="9" t="str">
        <v>길로틴</v>
      </c>
    </row>
    <row r="52" spans="1:5" x14ac:dyDescent="0.45">
      <c r="A52" s="9" t="str">
        <v>나유타</v>
      </c>
      <c r="D52" s="9" t="str">
        <v>케이</v>
      </c>
    </row>
    <row r="53" spans="1:5" x14ac:dyDescent="0.45">
      <c r="A53" s="9" t="str">
        <v>차임</v>
      </c>
      <c r="D53" s="9" t="str">
        <v>라피(1버)</v>
      </c>
    </row>
    <row r="54" spans="1:5" x14ac:dyDescent="0.45">
      <c r="A54" s="9" t="str">
        <v>브리드(작열)</v>
      </c>
      <c r="D54" s="9" t="str">
        <v>나유타</v>
      </c>
    </row>
    <row r="55" spans="1:5" x14ac:dyDescent="0.45">
      <c r="A55" s="9" t="str">
        <v>수레그</v>
      </c>
      <c r="D55" s="9" t="str">
        <v>크라운</v>
      </c>
    </row>
    <row r="56" spans="1:5" x14ac:dyDescent="0.45">
      <c r="A56" s="9" t="str">
        <v>아니스</v>
      </c>
      <c r="D56" s="9" t="str">
        <v>리버</v>
      </c>
    </row>
    <row r="57" spans="1:5" x14ac:dyDescent="0.45">
      <c r="A57" s="9" t="str">
        <v>민트</v>
      </c>
      <c r="D57" s="9" t="str">
        <v>디젤</v>
      </c>
    </row>
    <row r="58" spans="1:5" x14ac:dyDescent="0.45">
      <c r="A58" s="9" t="str">
        <v>민프</v>
      </c>
      <c r="D58" s="9" t="str">
        <v>브리드</v>
      </c>
    </row>
    <row r="59" spans="1:5" x14ac:dyDescent="0.45">
      <c r="A59" s="9">
        <v>0</v>
      </c>
      <c r="D59" s="9" t="str">
        <v>그레이브</v>
      </c>
    </row>
    <row r="60" spans="1:5" x14ac:dyDescent="0.45">
      <c r="A60" s="9">
        <v>0</v>
      </c>
      <c r="D60" s="9" t="str">
        <v>베스티</v>
      </c>
    </row>
    <row r="61" spans="1:5" x14ac:dyDescent="0.45">
      <c r="A61" s="9">
        <v>0</v>
      </c>
      <c r="D61" s="9" t="str">
        <v>헤스화</v>
      </c>
    </row>
    <row r="62" spans="1:5" x14ac:dyDescent="0.45">
      <c r="A62" s="9">
        <v>0</v>
      </c>
      <c r="D62" s="9" t="str">
        <v>아니스</v>
      </c>
    </row>
    <row r="63" spans="1:5" x14ac:dyDescent="0.45">
      <c r="A63" s="9">
        <v>0</v>
      </c>
      <c r="D63" s="9">
        <v>0</v>
      </c>
    </row>
    <row r="64" spans="1:5" x14ac:dyDescent="0.45">
      <c r="A64" s="9">
        <v>0</v>
      </c>
      <c r="D64" s="9">
        <v>0</v>
      </c>
    </row>
    <row r="65" spans="1:4" x14ac:dyDescent="0.45">
      <c r="A65" s="9">
        <v>0</v>
      </c>
      <c r="D65" s="9">
        <v>0</v>
      </c>
    </row>
    <row r="66" spans="1:4" x14ac:dyDescent="0.45">
      <c r="A66" s="9">
        <v>0</v>
      </c>
      <c r="D66" s="9">
        <v>0</v>
      </c>
    </row>
    <row r="67" spans="1:4" x14ac:dyDescent="0.45">
      <c r="A67" s="9">
        <v>0</v>
      </c>
      <c r="D67" s="9">
        <v>0</v>
      </c>
    </row>
    <row r="68" spans="1:4" x14ac:dyDescent="0.45">
      <c r="A68" s="9">
        <v>0</v>
      </c>
      <c r="D68" s="9">
        <v>0</v>
      </c>
    </row>
    <row r="69" spans="1:4" x14ac:dyDescent="0.45">
      <c r="A69" s="9">
        <v>0</v>
      </c>
      <c r="D69" s="9">
        <v>0</v>
      </c>
    </row>
    <row r="70" spans="1:4" x14ac:dyDescent="0.45">
      <c r="A70" s="9">
        <v>0</v>
      </c>
      <c r="D70" s="9">
        <v>0</v>
      </c>
    </row>
    <row r="71" spans="1:4" x14ac:dyDescent="0.45">
      <c r="A71" s="9">
        <v>0</v>
      </c>
      <c r="D71" s="9">
        <v>0</v>
      </c>
    </row>
    <row r="72" spans="1:4" x14ac:dyDescent="0.45">
      <c r="A72" s="9">
        <v>0</v>
      </c>
      <c r="D72" s="9">
        <v>0</v>
      </c>
    </row>
    <row r="73" spans="1:4" x14ac:dyDescent="0.45">
      <c r="A73" s="9">
        <v>0</v>
      </c>
      <c r="D73" s="9">
        <v>0</v>
      </c>
    </row>
    <row r="74" spans="1:4" x14ac:dyDescent="0.45">
      <c r="A74" s="9">
        <v>0</v>
      </c>
      <c r="D74" s="9">
        <v>0</v>
      </c>
    </row>
    <row r="75" spans="1:4" x14ac:dyDescent="0.45">
      <c r="A75" s="9">
        <v>0</v>
      </c>
      <c r="D75" s="9">
        <v>0</v>
      </c>
    </row>
    <row r="76" spans="1:4" x14ac:dyDescent="0.45">
      <c r="A76" s="9">
        <v>0</v>
      </c>
      <c r="D76" s="9">
        <v>0</v>
      </c>
    </row>
    <row r="77" spans="1:4" x14ac:dyDescent="0.45">
      <c r="A77" s="9">
        <v>0</v>
      </c>
      <c r="D77" s="9">
        <v>0</v>
      </c>
    </row>
    <row r="78" spans="1:4" x14ac:dyDescent="0.45">
      <c r="A78" s="9">
        <v>0</v>
      </c>
      <c r="D78" s="9">
        <v>0</v>
      </c>
    </row>
    <row r="79" spans="1:4" x14ac:dyDescent="0.45">
      <c r="A79" s="9">
        <v>0</v>
      </c>
      <c r="D79" s="9">
        <v>0</v>
      </c>
    </row>
    <row r="80" spans="1:4" x14ac:dyDescent="0.45">
      <c r="A80" s="9">
        <v>0</v>
      </c>
      <c r="D80" s="9">
        <v>0</v>
      </c>
    </row>
    <row r="81" spans="1:4" x14ac:dyDescent="0.45">
      <c r="A81" s="9">
        <v>0</v>
      </c>
      <c r="D81" s="9">
        <v>0</v>
      </c>
    </row>
    <row r="82" spans="1:4" x14ac:dyDescent="0.45">
      <c r="A82" s="9">
        <v>0</v>
      </c>
      <c r="D82" s="9">
        <v>0</v>
      </c>
    </row>
    <row r="83" spans="1:4" x14ac:dyDescent="0.45">
      <c r="A83" s="9">
        <v>0</v>
      </c>
      <c r="D83" s="9">
        <v>0</v>
      </c>
    </row>
    <row r="84" spans="1:4" x14ac:dyDescent="0.45">
      <c r="A84" s="9">
        <v>0</v>
      </c>
      <c r="D84" s="9">
        <v>0</v>
      </c>
    </row>
    <row r="85" spans="1:4" x14ac:dyDescent="0.45">
      <c r="A85" s="9">
        <v>0</v>
      </c>
      <c r="D85" s="9">
        <v>0</v>
      </c>
    </row>
    <row r="86" spans="1:4" x14ac:dyDescent="0.45">
      <c r="A86" s="9">
        <v>0</v>
      </c>
      <c r="D86" s="9">
        <v>0</v>
      </c>
    </row>
    <row r="87" spans="1:4" x14ac:dyDescent="0.45">
      <c r="A87" s="9">
        <v>0</v>
      </c>
      <c r="D87" s="9">
        <v>0</v>
      </c>
    </row>
    <row r="88" spans="1:4" x14ac:dyDescent="0.45">
      <c r="A88" s="9">
        <v>0</v>
      </c>
      <c r="D88" s="9">
        <v>0</v>
      </c>
    </row>
    <row r="89" spans="1:4" x14ac:dyDescent="0.45">
      <c r="A89" s="9">
        <v>0</v>
      </c>
      <c r="D89" s="9">
        <v>0</v>
      </c>
    </row>
    <row r="90" spans="1:4" x14ac:dyDescent="0.45">
      <c r="A90" s="9">
        <v>0</v>
      </c>
      <c r="D90" s="9">
        <v>0</v>
      </c>
    </row>
    <row r="91" spans="1:4" x14ac:dyDescent="0.45">
      <c r="A91" s="9">
        <v>0</v>
      </c>
      <c r="D91" s="9">
        <v>0</v>
      </c>
    </row>
    <row r="92" spans="1:4" x14ac:dyDescent="0.45">
      <c r="A92" s="9">
        <v>0</v>
      </c>
      <c r="D92" s="9">
        <v>0</v>
      </c>
    </row>
    <row r="93" spans="1:4" x14ac:dyDescent="0.45">
      <c r="A93" s="9">
        <v>0</v>
      </c>
      <c r="D93" s="9">
        <v>0</v>
      </c>
    </row>
    <row r="94" spans="1:4" x14ac:dyDescent="0.45">
      <c r="A94" s="9">
        <v>0</v>
      </c>
      <c r="D94" s="9">
        <v>0</v>
      </c>
    </row>
    <row r="95" spans="1:4" x14ac:dyDescent="0.45">
      <c r="A95" s="9">
        <v>0</v>
      </c>
      <c r="D95" s="9">
        <v>0</v>
      </c>
    </row>
    <row r="96" spans="1:4" x14ac:dyDescent="0.45">
      <c r="A96" s="9">
        <v>0</v>
      </c>
      <c r="D96" s="9">
        <v>0</v>
      </c>
    </row>
    <row r="97" spans="1:4" x14ac:dyDescent="0.45">
      <c r="A97" s="9">
        <v>0</v>
      </c>
      <c r="D97" s="9">
        <v>0</v>
      </c>
    </row>
    <row r="98" spans="1:4" x14ac:dyDescent="0.45">
      <c r="A98" s="9">
        <v>0</v>
      </c>
      <c r="D98" s="9">
        <v>0</v>
      </c>
    </row>
    <row r="99" spans="1:4" x14ac:dyDescent="0.45">
      <c r="A99" s="9">
        <v>0</v>
      </c>
      <c r="D99" s="9">
        <v>0</v>
      </c>
    </row>
    <row r="100" spans="1:4" x14ac:dyDescent="0.45">
      <c r="A100" s="9">
        <v>0</v>
      </c>
      <c r="D100" s="9">
        <v>0</v>
      </c>
    </row>
    <row r="101" spans="1:4" x14ac:dyDescent="0.45">
      <c r="A101" s="9">
        <v>0</v>
      </c>
      <c r="D101" s="9">
        <v>0</v>
      </c>
    </row>
    <row r="102" spans="1:4" x14ac:dyDescent="0.45">
      <c r="A102" s="9">
        <v>0</v>
      </c>
      <c r="D102" s="9">
        <v>0</v>
      </c>
    </row>
    <row r="103" spans="1:4" x14ac:dyDescent="0.45">
      <c r="A103" s="9">
        <v>0</v>
      </c>
      <c r="D103" s="9">
        <v>0</v>
      </c>
    </row>
    <row r="104" spans="1:4" x14ac:dyDescent="0.45">
      <c r="A104" s="9">
        <v>0</v>
      </c>
      <c r="D104" s="9">
        <v>0</v>
      </c>
    </row>
    <row r="105" spans="1:4" x14ac:dyDescent="0.45">
      <c r="A105" s="9">
        <v>0</v>
      </c>
      <c r="D105" s="9">
        <v>0</v>
      </c>
    </row>
    <row r="106" spans="1:4" x14ac:dyDescent="0.45">
      <c r="A106" s="9">
        <v>0</v>
      </c>
      <c r="D106" s="9">
        <v>0</v>
      </c>
    </row>
    <row r="107" spans="1:4" x14ac:dyDescent="0.45">
      <c r="A107" s="9">
        <v>0</v>
      </c>
      <c r="D107" s="9">
        <v>0</v>
      </c>
    </row>
    <row r="108" spans="1:4" x14ac:dyDescent="0.45">
      <c r="A108" s="9">
        <v>0</v>
      </c>
      <c r="D108" s="9">
        <v>0</v>
      </c>
    </row>
    <row r="109" spans="1:4" x14ac:dyDescent="0.45">
      <c r="A109" s="9">
        <v>0</v>
      </c>
      <c r="D109" s="9">
        <v>0</v>
      </c>
    </row>
    <row r="110" spans="1:4" x14ac:dyDescent="0.45">
      <c r="A110" s="9">
        <v>0</v>
      </c>
      <c r="D110" s="9">
        <v>0</v>
      </c>
    </row>
    <row r="111" spans="1:4" x14ac:dyDescent="0.45">
      <c r="A111" s="9">
        <v>0</v>
      </c>
      <c r="D111" s="9">
        <v>0</v>
      </c>
    </row>
    <row r="112" spans="1:4" x14ac:dyDescent="0.45">
      <c r="A112" s="9">
        <v>0</v>
      </c>
      <c r="D112" s="9">
        <v>0</v>
      </c>
    </row>
    <row r="113" spans="1:4" x14ac:dyDescent="0.45">
      <c r="A113" s="9">
        <v>0</v>
      </c>
      <c r="D113" s="9">
        <v>0</v>
      </c>
    </row>
    <row r="114" spans="1:4" x14ac:dyDescent="0.45">
      <c r="A114" s="9">
        <v>0</v>
      </c>
      <c r="D114" s="9">
        <v>0</v>
      </c>
    </row>
    <row r="115" spans="1:4" x14ac:dyDescent="0.45">
      <c r="A115" s="9">
        <v>0</v>
      </c>
      <c r="D115" s="9">
        <v>0</v>
      </c>
    </row>
    <row r="116" spans="1:4" x14ac:dyDescent="0.45">
      <c r="A116" s="9">
        <v>0</v>
      </c>
      <c r="D116" s="9">
        <v>0</v>
      </c>
    </row>
    <row r="117" spans="1:4" x14ac:dyDescent="0.45">
      <c r="A117" s="9">
        <v>0</v>
      </c>
      <c r="D117" s="9">
        <v>0</v>
      </c>
    </row>
    <row r="118" spans="1:4" x14ac:dyDescent="0.45">
      <c r="A118" s="9">
        <v>0</v>
      </c>
      <c r="D118" s="9">
        <v>0</v>
      </c>
    </row>
    <row r="119" spans="1:4" x14ac:dyDescent="0.45">
      <c r="A119" s="9">
        <v>0</v>
      </c>
      <c r="D119" s="9">
        <v>0</v>
      </c>
    </row>
    <row r="120" spans="1:4" x14ac:dyDescent="0.45">
      <c r="A120" s="9">
        <v>0</v>
      </c>
      <c r="D120" s="9">
        <v>0</v>
      </c>
    </row>
    <row r="121" spans="1:4" x14ac:dyDescent="0.45">
      <c r="A121" s="9">
        <v>0</v>
      </c>
      <c r="D121" s="9">
        <v>0</v>
      </c>
    </row>
    <row r="122" spans="1:4" x14ac:dyDescent="0.45">
      <c r="A122" s="9">
        <v>0</v>
      </c>
      <c r="D122" s="9">
        <v>0</v>
      </c>
    </row>
    <row r="123" spans="1:4" x14ac:dyDescent="0.45">
      <c r="A123" s="9">
        <v>0</v>
      </c>
      <c r="D123" s="9">
        <v>0</v>
      </c>
    </row>
    <row r="124" spans="1:4" x14ac:dyDescent="0.45">
      <c r="A124" s="9">
        <v>0</v>
      </c>
      <c r="D124" s="9">
        <v>0</v>
      </c>
    </row>
    <row r="125" spans="1:4" x14ac:dyDescent="0.45">
      <c r="A125" s="9">
        <v>0</v>
      </c>
      <c r="D125" s="9">
        <v>0</v>
      </c>
    </row>
    <row r="126" spans="1:4" x14ac:dyDescent="0.45">
      <c r="A126" s="9">
        <v>0</v>
      </c>
      <c r="D126" s="9">
        <v>0</v>
      </c>
    </row>
    <row r="127" spans="1:4" x14ac:dyDescent="0.45">
      <c r="A127" s="9">
        <v>0</v>
      </c>
      <c r="D127" s="9">
        <v>0</v>
      </c>
    </row>
    <row r="128" spans="1:4" x14ac:dyDescent="0.45">
      <c r="A128" s="9">
        <v>0</v>
      </c>
      <c r="D128" s="9">
        <v>0</v>
      </c>
    </row>
    <row r="129" spans="1:4" x14ac:dyDescent="0.45">
      <c r="A129" s="9">
        <v>0</v>
      </c>
      <c r="D129" s="9">
        <v>0</v>
      </c>
    </row>
    <row r="130" spans="1:4" x14ac:dyDescent="0.45">
      <c r="A130" s="9">
        <v>0</v>
      </c>
      <c r="D130" s="9">
        <v>0</v>
      </c>
    </row>
    <row r="131" spans="1:4" x14ac:dyDescent="0.45">
      <c r="A131" s="9">
        <v>0</v>
      </c>
      <c r="D131" s="9">
        <v>0</v>
      </c>
    </row>
    <row r="132" spans="1:4" x14ac:dyDescent="0.45">
      <c r="A132" s="9">
        <v>0</v>
      </c>
      <c r="D132" s="9">
        <v>0</v>
      </c>
    </row>
    <row r="133" spans="1:4" x14ac:dyDescent="0.45">
      <c r="A133" s="9">
        <v>0</v>
      </c>
      <c r="D133" s="9">
        <v>0</v>
      </c>
    </row>
    <row r="134" spans="1:4" x14ac:dyDescent="0.45">
      <c r="A134" s="9">
        <v>0</v>
      </c>
      <c r="D134" s="9">
        <v>0</v>
      </c>
    </row>
    <row r="135" spans="1:4" x14ac:dyDescent="0.45">
      <c r="A135" s="9">
        <v>0</v>
      </c>
      <c r="D135" s="9">
        <v>0</v>
      </c>
    </row>
    <row r="136" spans="1:4" x14ac:dyDescent="0.45">
      <c r="A136" s="9">
        <v>0</v>
      </c>
      <c r="D136" s="9">
        <v>0</v>
      </c>
    </row>
    <row r="137" spans="1:4" x14ac:dyDescent="0.45">
      <c r="A137" s="9">
        <v>0</v>
      </c>
      <c r="D137" s="9">
        <v>0</v>
      </c>
    </row>
    <row r="138" spans="1:4" x14ac:dyDescent="0.45">
      <c r="A138" s="9">
        <v>0</v>
      </c>
      <c r="D138" s="9">
        <v>0</v>
      </c>
    </row>
    <row r="139" spans="1:4" x14ac:dyDescent="0.45">
      <c r="A139" s="9">
        <v>0</v>
      </c>
      <c r="D139" s="9">
        <v>0</v>
      </c>
    </row>
    <row r="140" spans="1:4" x14ac:dyDescent="0.45">
      <c r="A140" s="9">
        <v>0</v>
      </c>
      <c r="D140" s="9">
        <v>0</v>
      </c>
    </row>
    <row r="141" spans="1:4" x14ac:dyDescent="0.45">
      <c r="A141" s="9">
        <v>0</v>
      </c>
      <c r="D141" s="9">
        <v>0</v>
      </c>
    </row>
    <row r="142" spans="1:4" x14ac:dyDescent="0.45">
      <c r="A142" s="9">
        <v>0</v>
      </c>
      <c r="D142" s="9">
        <v>0</v>
      </c>
    </row>
    <row r="143" spans="1:4" x14ac:dyDescent="0.45">
      <c r="A143" s="9">
        <v>0</v>
      </c>
      <c r="D143" s="9">
        <v>0</v>
      </c>
    </row>
    <row r="144" spans="1:4" x14ac:dyDescent="0.45">
      <c r="A144" s="9">
        <v>0</v>
      </c>
      <c r="D144" s="9">
        <v>0</v>
      </c>
    </row>
    <row r="145" spans="1:4" x14ac:dyDescent="0.45">
      <c r="A145" s="9">
        <v>0</v>
      </c>
      <c r="D145" s="9">
        <v>0</v>
      </c>
    </row>
    <row r="146" spans="1:4" x14ac:dyDescent="0.45">
      <c r="A146" s="9">
        <v>0</v>
      </c>
      <c r="D146" s="9">
        <v>0</v>
      </c>
    </row>
    <row r="147" spans="1:4" x14ac:dyDescent="0.45">
      <c r="A147" s="9">
        <v>0</v>
      </c>
      <c r="D147" s="9">
        <v>0</v>
      </c>
    </row>
    <row r="148" spans="1:4" x14ac:dyDescent="0.45">
      <c r="A148" s="9">
        <v>0</v>
      </c>
      <c r="D148" s="9">
        <v>0</v>
      </c>
    </row>
    <row r="149" spans="1:4" x14ac:dyDescent="0.45">
      <c r="A149" s="9">
        <v>0</v>
      </c>
      <c r="D149" s="9">
        <v>0</v>
      </c>
    </row>
    <row r="150" spans="1:4" x14ac:dyDescent="0.45">
      <c r="A150" s="9">
        <v>0</v>
      </c>
      <c r="D150" s="9">
        <v>0</v>
      </c>
    </row>
    <row r="151" spans="1:4" x14ac:dyDescent="0.45">
      <c r="A151" s="9">
        <v>0</v>
      </c>
      <c r="D151" s="9">
        <v>0</v>
      </c>
    </row>
    <row r="152" spans="1:4" x14ac:dyDescent="0.45">
      <c r="A152" s="9">
        <v>0</v>
      </c>
      <c r="D152" s="9">
        <v>0</v>
      </c>
    </row>
    <row r="153" spans="1:4" x14ac:dyDescent="0.45">
      <c r="A153" s="9">
        <v>0</v>
      </c>
      <c r="D153" s="9">
        <v>0</v>
      </c>
    </row>
    <row r="154" spans="1:4" x14ac:dyDescent="0.45">
      <c r="A154" s="9">
        <v>0</v>
      </c>
      <c r="D154" s="9">
        <v>0</v>
      </c>
    </row>
    <row r="155" spans="1:4" x14ac:dyDescent="0.45">
      <c r="A155" s="9">
        <v>0</v>
      </c>
      <c r="D155" s="9">
        <v>0</v>
      </c>
    </row>
    <row r="156" spans="1:4" x14ac:dyDescent="0.45">
      <c r="A156" s="9">
        <v>0</v>
      </c>
      <c r="D156" s="9">
        <v>0</v>
      </c>
    </row>
    <row r="157" spans="1:4" x14ac:dyDescent="0.45">
      <c r="A157" s="9">
        <v>0</v>
      </c>
      <c r="D157" s="9">
        <v>0</v>
      </c>
    </row>
    <row r="158" spans="1:4" x14ac:dyDescent="0.45">
      <c r="A158" s="9">
        <v>0</v>
      </c>
      <c r="D158" s="9">
        <v>0</v>
      </c>
    </row>
    <row r="159" spans="1:4" x14ac:dyDescent="0.45">
      <c r="A159" s="9">
        <v>0</v>
      </c>
      <c r="D159" s="9">
        <v>0</v>
      </c>
    </row>
    <row r="160" spans="1:4" x14ac:dyDescent="0.45">
      <c r="A160" s="9">
        <v>0</v>
      </c>
      <c r="D160" s="9">
        <v>0</v>
      </c>
    </row>
    <row r="161" spans="1:4" x14ac:dyDescent="0.45">
      <c r="A161" s="9">
        <v>0</v>
      </c>
      <c r="D161" s="9">
        <v>0</v>
      </c>
    </row>
    <row r="162" spans="1:4" x14ac:dyDescent="0.45">
      <c r="A162" s="9">
        <v>0</v>
      </c>
      <c r="D162" s="9">
        <v>0</v>
      </c>
    </row>
    <row r="163" spans="1:4" x14ac:dyDescent="0.45">
      <c r="A163" s="9">
        <v>0</v>
      </c>
      <c r="D163" s="9">
        <v>0</v>
      </c>
    </row>
    <row r="164" spans="1:4" x14ac:dyDescent="0.45">
      <c r="A164" s="9">
        <v>0</v>
      </c>
      <c r="D164" s="9">
        <v>0</v>
      </c>
    </row>
    <row r="165" spans="1:4" x14ac:dyDescent="0.45">
      <c r="A165" s="9">
        <v>0</v>
      </c>
      <c r="D165" s="9">
        <v>0</v>
      </c>
    </row>
    <row r="166" spans="1:4" x14ac:dyDescent="0.45">
      <c r="A166" s="9">
        <v>0</v>
      </c>
      <c r="D166" s="9">
        <v>0</v>
      </c>
    </row>
    <row r="167" spans="1:4" x14ac:dyDescent="0.45">
      <c r="A167" s="9">
        <v>0</v>
      </c>
      <c r="D167" s="9">
        <v>0</v>
      </c>
    </row>
    <row r="168" spans="1:4" x14ac:dyDescent="0.45">
      <c r="A168" s="9">
        <v>0</v>
      </c>
      <c r="D168" s="9">
        <v>0</v>
      </c>
    </row>
    <row r="169" spans="1:4" x14ac:dyDescent="0.45">
      <c r="A169" s="9">
        <v>0</v>
      </c>
      <c r="D169" s="9">
        <v>0</v>
      </c>
    </row>
    <row r="170" spans="1:4" x14ac:dyDescent="0.45">
      <c r="A170" s="9">
        <v>0</v>
      </c>
      <c r="D170" s="9">
        <v>0</v>
      </c>
    </row>
    <row r="171" spans="1:4" x14ac:dyDescent="0.45">
      <c r="A171" s="9">
        <v>0</v>
      </c>
      <c r="D171" s="9">
        <v>0</v>
      </c>
    </row>
    <row r="172" spans="1:4" x14ac:dyDescent="0.45">
      <c r="A172" s="9">
        <v>0</v>
      </c>
      <c r="D172" s="9">
        <v>0</v>
      </c>
    </row>
    <row r="173" spans="1:4" x14ac:dyDescent="0.45">
      <c r="A173" s="9">
        <v>0</v>
      </c>
      <c r="D173" s="9">
        <v>0</v>
      </c>
    </row>
    <row r="174" spans="1:4" x14ac:dyDescent="0.45">
      <c r="A174" s="9">
        <v>0</v>
      </c>
      <c r="D174" s="9">
        <v>0</v>
      </c>
    </row>
    <row r="175" spans="1:4" x14ac:dyDescent="0.45">
      <c r="A175" s="9">
        <v>0</v>
      </c>
      <c r="D175" s="9">
        <v>0</v>
      </c>
    </row>
    <row r="176" spans="1:4" x14ac:dyDescent="0.45">
      <c r="A176" s="9">
        <v>0</v>
      </c>
      <c r="D176" s="9">
        <v>0</v>
      </c>
    </row>
    <row r="177" spans="1:4" x14ac:dyDescent="0.45">
      <c r="A177" s="9">
        <v>0</v>
      </c>
      <c r="D177" s="9">
        <v>0</v>
      </c>
    </row>
    <row r="178" spans="1:4" x14ac:dyDescent="0.45">
      <c r="A178" s="9">
        <v>0</v>
      </c>
      <c r="D178" s="9">
        <v>0</v>
      </c>
    </row>
    <row r="179" spans="1:4" x14ac:dyDescent="0.45">
      <c r="A179" s="9">
        <v>0</v>
      </c>
      <c r="D179" s="9">
        <v>0</v>
      </c>
    </row>
    <row r="180" spans="1:4" x14ac:dyDescent="0.45">
      <c r="A180" s="9">
        <v>0</v>
      </c>
      <c r="D180" s="9">
        <v>0</v>
      </c>
    </row>
    <row r="181" spans="1:4" x14ac:dyDescent="0.45">
      <c r="A181" s="9">
        <v>0</v>
      </c>
      <c r="D181" s="9">
        <v>0</v>
      </c>
    </row>
    <row r="182" spans="1:4" x14ac:dyDescent="0.45">
      <c r="A182" s="9">
        <v>0</v>
      </c>
      <c r="D182" s="9">
        <v>0</v>
      </c>
    </row>
    <row r="183" spans="1:4" x14ac:dyDescent="0.45">
      <c r="A183" s="9">
        <v>0</v>
      </c>
      <c r="D183" s="9">
        <v>0</v>
      </c>
    </row>
    <row r="184" spans="1:4" x14ac:dyDescent="0.45">
      <c r="A184" s="9">
        <v>0</v>
      </c>
      <c r="D184" s="9">
        <v>0</v>
      </c>
    </row>
    <row r="185" spans="1:4" x14ac:dyDescent="0.45">
      <c r="A185" s="9">
        <v>0</v>
      </c>
      <c r="D185" s="9">
        <v>0</v>
      </c>
    </row>
    <row r="186" spans="1:4" x14ac:dyDescent="0.45">
      <c r="A186" s="9">
        <v>0</v>
      </c>
      <c r="D186" s="9">
        <v>0</v>
      </c>
    </row>
    <row r="187" spans="1:4" x14ac:dyDescent="0.45">
      <c r="A187" s="9">
        <v>0</v>
      </c>
      <c r="D187" s="9">
        <v>0</v>
      </c>
    </row>
    <row r="188" spans="1:4" x14ac:dyDescent="0.45">
      <c r="A188" s="9">
        <v>0</v>
      </c>
      <c r="D188" s="9">
        <v>0</v>
      </c>
    </row>
    <row r="189" spans="1:4" x14ac:dyDescent="0.45">
      <c r="A189" s="9">
        <v>0</v>
      </c>
      <c r="D189" s="9">
        <v>0</v>
      </c>
    </row>
    <row r="190" spans="1:4" x14ac:dyDescent="0.45">
      <c r="A190" s="9">
        <v>0</v>
      </c>
      <c r="D190" s="9">
        <v>0</v>
      </c>
    </row>
    <row r="191" spans="1:4" x14ac:dyDescent="0.45">
      <c r="A191" s="9">
        <v>0</v>
      </c>
      <c r="D191" s="9">
        <v>0</v>
      </c>
    </row>
    <row r="192" spans="1:4" x14ac:dyDescent="0.45">
      <c r="A192" s="9">
        <v>0</v>
      </c>
      <c r="D192" s="9">
        <v>0</v>
      </c>
    </row>
    <row r="193" spans="1:4" x14ac:dyDescent="0.45">
      <c r="A193" s="9">
        <v>0</v>
      </c>
      <c r="D193" s="9">
        <v>0</v>
      </c>
    </row>
    <row r="194" spans="1:4" x14ac:dyDescent="0.45">
      <c r="A194" s="9">
        <v>0</v>
      </c>
      <c r="D194" s="9">
        <v>0</v>
      </c>
    </row>
    <row r="195" spans="1:4" x14ac:dyDescent="0.45">
      <c r="A195" s="9">
        <v>0</v>
      </c>
      <c r="D195" s="9">
        <v>0</v>
      </c>
    </row>
    <row r="196" spans="1:4" x14ac:dyDescent="0.45">
      <c r="A196" s="9">
        <v>0</v>
      </c>
      <c r="D196" s="9">
        <v>0</v>
      </c>
    </row>
    <row r="197" spans="1:4" x14ac:dyDescent="0.45">
      <c r="A197" s="9">
        <v>0</v>
      </c>
      <c r="D197" s="9">
        <v>0</v>
      </c>
    </row>
    <row r="198" spans="1:4" x14ac:dyDescent="0.45">
      <c r="A198" s="9">
        <v>0</v>
      </c>
      <c r="D198" s="9">
        <v>0</v>
      </c>
    </row>
    <row r="199" spans="1:4" x14ac:dyDescent="0.45">
      <c r="A199" s="9">
        <v>0</v>
      </c>
      <c r="D199" s="9">
        <v>0</v>
      </c>
    </row>
    <row r="200" spans="1:4" x14ac:dyDescent="0.45">
      <c r="A200" s="9">
        <v>0</v>
      </c>
      <c r="D200" s="9">
        <v>0</v>
      </c>
    </row>
    <row r="201" spans="1:4" x14ac:dyDescent="0.45">
      <c r="A201" s="9">
        <v>0</v>
      </c>
      <c r="D201" s="9">
        <v>0</v>
      </c>
    </row>
    <row r="202" spans="1:4" x14ac:dyDescent="0.45">
      <c r="A202" s="9">
        <v>0</v>
      </c>
      <c r="D202" s="9">
        <v>0</v>
      </c>
    </row>
    <row r="203" spans="1:4" x14ac:dyDescent="0.45">
      <c r="A203" s="9">
        <v>0</v>
      </c>
      <c r="D203" s="9">
        <v>0</v>
      </c>
    </row>
    <row r="204" spans="1:4" x14ac:dyDescent="0.45">
      <c r="A204" s="9">
        <v>0</v>
      </c>
      <c r="D204" s="9">
        <v>0</v>
      </c>
    </row>
    <row r="205" spans="1:4" x14ac:dyDescent="0.45">
      <c r="A205" s="9">
        <v>0</v>
      </c>
      <c r="D205" s="9">
        <v>0</v>
      </c>
    </row>
    <row r="206" spans="1:4" x14ac:dyDescent="0.45">
      <c r="A206" s="9">
        <v>0</v>
      </c>
      <c r="D206" s="9">
        <v>0</v>
      </c>
    </row>
    <row r="207" spans="1:4" x14ac:dyDescent="0.45">
      <c r="A207" s="9">
        <v>0</v>
      </c>
      <c r="D207" s="9">
        <v>0</v>
      </c>
    </row>
    <row r="208" spans="1:4" x14ac:dyDescent="0.45">
      <c r="A208" s="9">
        <v>0</v>
      </c>
      <c r="D208" s="9">
        <v>0</v>
      </c>
    </row>
    <row r="209" spans="1:4" x14ac:dyDescent="0.45">
      <c r="A209" s="9">
        <v>0</v>
      </c>
      <c r="D209" s="9">
        <v>0</v>
      </c>
    </row>
    <row r="210" spans="1:4" x14ac:dyDescent="0.45">
      <c r="A210" s="9">
        <v>0</v>
      </c>
      <c r="D210" s="9">
        <v>0</v>
      </c>
    </row>
    <row r="211" spans="1:4" x14ac:dyDescent="0.45">
      <c r="A211" s="9">
        <v>0</v>
      </c>
      <c r="D211" s="9">
        <v>0</v>
      </c>
    </row>
    <row r="212" spans="1:4" x14ac:dyDescent="0.45">
      <c r="A212" s="9">
        <v>0</v>
      </c>
      <c r="D212" s="9">
        <v>0</v>
      </c>
    </row>
    <row r="213" spans="1:4" x14ac:dyDescent="0.45">
      <c r="A213" s="9">
        <v>0</v>
      </c>
      <c r="D213" s="9">
        <v>0</v>
      </c>
    </row>
    <row r="214" spans="1:4" x14ac:dyDescent="0.45">
      <c r="A214" s="9">
        <v>0</v>
      </c>
      <c r="D214" s="9">
        <v>0</v>
      </c>
    </row>
    <row r="215" spans="1:4" x14ac:dyDescent="0.45">
      <c r="A215" s="9">
        <v>0</v>
      </c>
      <c r="D215" s="9">
        <v>0</v>
      </c>
    </row>
    <row r="216" spans="1:4" x14ac:dyDescent="0.45">
      <c r="A216" s="9">
        <v>0</v>
      </c>
      <c r="D216" s="9">
        <v>0</v>
      </c>
    </row>
    <row r="217" spans="1:4" x14ac:dyDescent="0.45">
      <c r="A217" s="9">
        <v>0</v>
      </c>
      <c r="D217" s="9">
        <v>0</v>
      </c>
    </row>
    <row r="218" spans="1:4" x14ac:dyDescent="0.45">
      <c r="A218" s="9">
        <v>0</v>
      </c>
      <c r="D218" s="9">
        <v>0</v>
      </c>
    </row>
    <row r="219" spans="1:4" x14ac:dyDescent="0.45">
      <c r="A219" s="9">
        <v>0</v>
      </c>
      <c r="D219" s="9">
        <v>0</v>
      </c>
    </row>
    <row r="220" spans="1:4" x14ac:dyDescent="0.45">
      <c r="A220" s="9">
        <v>0</v>
      </c>
      <c r="D220" s="9">
        <v>0</v>
      </c>
    </row>
    <row r="221" spans="1:4" x14ac:dyDescent="0.45">
      <c r="A221" s="9">
        <v>0</v>
      </c>
      <c r="D221" s="9">
        <v>0</v>
      </c>
    </row>
    <row r="222" spans="1:4" x14ac:dyDescent="0.45">
      <c r="A222" s="9">
        <v>0</v>
      </c>
      <c r="D222" s="9">
        <v>0</v>
      </c>
    </row>
    <row r="223" spans="1:4" x14ac:dyDescent="0.45">
      <c r="A223" s="9">
        <v>0</v>
      </c>
      <c r="D223" s="9">
        <v>0</v>
      </c>
    </row>
    <row r="224" spans="1:4" x14ac:dyDescent="0.45">
      <c r="A224" s="9">
        <v>0</v>
      </c>
      <c r="D224" s="9">
        <v>0</v>
      </c>
    </row>
    <row r="225" spans="1:4" x14ac:dyDescent="0.45">
      <c r="A225" s="9">
        <v>0</v>
      </c>
      <c r="D225" s="9">
        <v>0</v>
      </c>
    </row>
    <row r="226" spans="1:4" x14ac:dyDescent="0.45">
      <c r="A226" s="9">
        <v>0</v>
      </c>
      <c r="D226" s="9">
        <v>0</v>
      </c>
    </row>
    <row r="227" spans="1:4" x14ac:dyDescent="0.45">
      <c r="A227" s="9">
        <v>0</v>
      </c>
      <c r="D227" s="9">
        <v>0</v>
      </c>
    </row>
    <row r="228" spans="1:4" x14ac:dyDescent="0.45">
      <c r="A228" s="9">
        <v>0</v>
      </c>
      <c r="D228" s="9">
        <v>0</v>
      </c>
    </row>
    <row r="229" spans="1:4" x14ac:dyDescent="0.45">
      <c r="A229" s="9">
        <v>0</v>
      </c>
      <c r="D229" s="9">
        <v>0</v>
      </c>
    </row>
    <row r="230" spans="1:4" x14ac:dyDescent="0.45">
      <c r="A230" s="9">
        <v>0</v>
      </c>
      <c r="D230" s="9">
        <v>0</v>
      </c>
    </row>
    <row r="231" spans="1:4" x14ac:dyDescent="0.45">
      <c r="A231" s="9">
        <v>0</v>
      </c>
      <c r="D231" s="9">
        <v>0</v>
      </c>
    </row>
    <row r="232" spans="1:4" x14ac:dyDescent="0.45">
      <c r="A232" s="9">
        <v>0</v>
      </c>
      <c r="D232" s="9">
        <v>0</v>
      </c>
    </row>
    <row r="233" spans="1:4" x14ac:dyDescent="0.45">
      <c r="A233" s="9">
        <v>0</v>
      </c>
      <c r="D233" s="9">
        <v>0</v>
      </c>
    </row>
    <row r="234" spans="1:4" x14ac:dyDescent="0.45">
      <c r="A234" s="9">
        <v>0</v>
      </c>
      <c r="D234" s="9">
        <v>0</v>
      </c>
    </row>
    <row r="235" spans="1:4" x14ac:dyDescent="0.45">
      <c r="A235" s="9">
        <v>0</v>
      </c>
      <c r="D235" s="9">
        <v>0</v>
      </c>
    </row>
    <row r="236" spans="1:4" x14ac:dyDescent="0.45">
      <c r="A236" s="9">
        <v>0</v>
      </c>
      <c r="D236" s="9">
        <v>0</v>
      </c>
    </row>
    <row r="237" spans="1:4" x14ac:dyDescent="0.45">
      <c r="A237" s="9">
        <v>0</v>
      </c>
      <c r="D237" s="9">
        <v>0</v>
      </c>
    </row>
    <row r="238" spans="1:4" x14ac:dyDescent="0.45">
      <c r="A238" s="9">
        <v>0</v>
      </c>
      <c r="D238" s="9">
        <v>0</v>
      </c>
    </row>
    <row r="239" spans="1:4" x14ac:dyDescent="0.45">
      <c r="A239" s="9">
        <v>0</v>
      </c>
      <c r="D239" s="9">
        <v>0</v>
      </c>
    </row>
    <row r="240" spans="1:4" x14ac:dyDescent="0.45">
      <c r="A240" s="9">
        <v>0</v>
      </c>
      <c r="D240" s="9">
        <v>0</v>
      </c>
    </row>
    <row r="241" spans="1:4" x14ac:dyDescent="0.45">
      <c r="A241" s="9">
        <v>0</v>
      </c>
      <c r="D241" s="9">
        <v>0</v>
      </c>
    </row>
    <row r="242" spans="1:4" x14ac:dyDescent="0.45">
      <c r="A242" s="9">
        <v>0</v>
      </c>
      <c r="D242" s="9">
        <v>0</v>
      </c>
    </row>
    <row r="243" spans="1:4" x14ac:dyDescent="0.45">
      <c r="A243" s="9">
        <v>0</v>
      </c>
      <c r="D243" s="9">
        <v>0</v>
      </c>
    </row>
    <row r="244" spans="1:4" x14ac:dyDescent="0.45">
      <c r="A244" s="9">
        <v>0</v>
      </c>
      <c r="D244" s="9">
        <v>0</v>
      </c>
    </row>
    <row r="245" spans="1:4" x14ac:dyDescent="0.45">
      <c r="A245" s="9">
        <v>0</v>
      </c>
      <c r="D245" s="9">
        <v>0</v>
      </c>
    </row>
    <row r="246" spans="1:4" x14ac:dyDescent="0.45">
      <c r="A246" s="9">
        <v>0</v>
      </c>
      <c r="D246" s="9">
        <v>0</v>
      </c>
    </row>
    <row r="247" spans="1:4" x14ac:dyDescent="0.45">
      <c r="A247" s="9">
        <v>0</v>
      </c>
      <c r="D247" s="9">
        <v>0</v>
      </c>
    </row>
    <row r="248" spans="1:4" x14ac:dyDescent="0.45">
      <c r="A248" s="9">
        <v>0</v>
      </c>
      <c r="D248" s="9">
        <v>0</v>
      </c>
    </row>
    <row r="249" spans="1:4" x14ac:dyDescent="0.45">
      <c r="A249" s="9">
        <v>0</v>
      </c>
      <c r="D249" s="9">
        <v>0</v>
      </c>
    </row>
    <row r="250" spans="1:4" x14ac:dyDescent="0.45">
      <c r="A250" s="9">
        <v>0</v>
      </c>
      <c r="D250" s="9">
        <v>0</v>
      </c>
    </row>
    <row r="251" spans="1:4" x14ac:dyDescent="0.45">
      <c r="A251" s="9">
        <v>0</v>
      </c>
      <c r="D251" s="9">
        <v>0</v>
      </c>
    </row>
    <row r="252" spans="1:4" x14ac:dyDescent="0.45">
      <c r="A252" s="9">
        <v>0</v>
      </c>
      <c r="D252" s="9">
        <v>0</v>
      </c>
    </row>
    <row r="253" spans="1:4" x14ac:dyDescent="0.45">
      <c r="A253" s="9">
        <v>0</v>
      </c>
      <c r="D253" s="9">
        <v>0</v>
      </c>
    </row>
    <row r="254" spans="1:4" x14ac:dyDescent="0.45">
      <c r="A254" s="9">
        <v>0</v>
      </c>
      <c r="D254" s="9">
        <v>0</v>
      </c>
    </row>
    <row r="255" spans="1:4" x14ac:dyDescent="0.45">
      <c r="A255" s="9">
        <v>0</v>
      </c>
      <c r="D255" s="9">
        <v>0</v>
      </c>
    </row>
    <row r="256" spans="1:4" x14ac:dyDescent="0.45">
      <c r="A256" s="9">
        <v>0</v>
      </c>
      <c r="D256" s="9">
        <v>0</v>
      </c>
    </row>
    <row r="257" spans="1:4" x14ac:dyDescent="0.45">
      <c r="A257" s="9">
        <v>0</v>
      </c>
      <c r="D257" s="9">
        <v>0</v>
      </c>
    </row>
    <row r="258" spans="1:4" x14ac:dyDescent="0.45">
      <c r="A258" s="9">
        <v>0</v>
      </c>
      <c r="D258" s="9">
        <v>0</v>
      </c>
    </row>
    <row r="259" spans="1:4" x14ac:dyDescent="0.45">
      <c r="A259" s="9">
        <v>0</v>
      </c>
      <c r="D259" s="9">
        <v>0</v>
      </c>
    </row>
    <row r="260" spans="1:4" x14ac:dyDescent="0.45">
      <c r="A260" s="9">
        <v>0</v>
      </c>
      <c r="D260" s="9">
        <v>0</v>
      </c>
    </row>
    <row r="261" spans="1:4" x14ac:dyDescent="0.45">
      <c r="A261" s="9">
        <v>0</v>
      </c>
      <c r="D261" s="9">
        <v>0</v>
      </c>
    </row>
    <row r="262" spans="1:4" x14ac:dyDescent="0.45">
      <c r="A262" s="9">
        <v>0</v>
      </c>
      <c r="D262" s="9">
        <v>0</v>
      </c>
    </row>
    <row r="263" spans="1:4" x14ac:dyDescent="0.45">
      <c r="A263" s="9">
        <v>0</v>
      </c>
      <c r="D263" s="9">
        <v>0</v>
      </c>
    </row>
    <row r="264" spans="1:4" x14ac:dyDescent="0.45">
      <c r="A264" s="9">
        <v>0</v>
      </c>
      <c r="D264" s="9">
        <v>0</v>
      </c>
    </row>
    <row r="265" spans="1:4" x14ac:dyDescent="0.45">
      <c r="A265" s="9">
        <v>0</v>
      </c>
      <c r="D265" s="9">
        <v>0</v>
      </c>
    </row>
    <row r="266" spans="1:4" x14ac:dyDescent="0.45">
      <c r="A266" s="9">
        <v>0</v>
      </c>
      <c r="D266" s="9">
        <v>0</v>
      </c>
    </row>
    <row r="267" spans="1:4" x14ac:dyDescent="0.45">
      <c r="A267" s="9">
        <v>0</v>
      </c>
      <c r="D267" s="9">
        <v>0</v>
      </c>
    </row>
    <row r="268" spans="1:4" x14ac:dyDescent="0.45">
      <c r="A268" s="9">
        <v>0</v>
      </c>
      <c r="D268" s="9">
        <v>0</v>
      </c>
    </row>
    <row r="269" spans="1:4" x14ac:dyDescent="0.45">
      <c r="A269" s="9">
        <v>0</v>
      </c>
      <c r="D269" s="9">
        <v>0</v>
      </c>
    </row>
    <row r="270" spans="1:4" x14ac:dyDescent="0.45">
      <c r="A270" s="9">
        <v>0</v>
      </c>
      <c r="D270" s="9">
        <v>0</v>
      </c>
    </row>
    <row r="271" spans="1:4" x14ac:dyDescent="0.45">
      <c r="A271" s="9">
        <v>0</v>
      </c>
      <c r="D271" s="9">
        <v>0</v>
      </c>
    </row>
    <row r="272" spans="1:4" x14ac:dyDescent="0.45">
      <c r="A272" s="9">
        <v>0</v>
      </c>
      <c r="D272" s="9">
        <v>0</v>
      </c>
    </row>
    <row r="273" spans="1:4" x14ac:dyDescent="0.45">
      <c r="A273" s="9">
        <v>0</v>
      </c>
      <c r="D273" s="9">
        <v>0</v>
      </c>
    </row>
    <row r="274" spans="1:4" x14ac:dyDescent="0.45">
      <c r="A274" s="9">
        <v>0</v>
      </c>
      <c r="D274" s="9">
        <v>0</v>
      </c>
    </row>
    <row r="275" spans="1:4" x14ac:dyDescent="0.45">
      <c r="A275" s="9">
        <v>0</v>
      </c>
      <c r="D275" s="9">
        <v>0</v>
      </c>
    </row>
    <row r="276" spans="1:4" x14ac:dyDescent="0.45">
      <c r="A276" s="9">
        <v>0</v>
      </c>
      <c r="D276" s="9">
        <v>0</v>
      </c>
    </row>
    <row r="277" spans="1:4" x14ac:dyDescent="0.45">
      <c r="A277" s="9">
        <v>0</v>
      </c>
      <c r="D277" s="9">
        <v>0</v>
      </c>
    </row>
    <row r="278" spans="1:4" x14ac:dyDescent="0.45">
      <c r="A278" s="9">
        <v>0</v>
      </c>
      <c r="D278" s="9">
        <v>0</v>
      </c>
    </row>
    <row r="279" spans="1:4" x14ac:dyDescent="0.45">
      <c r="A279" s="9">
        <v>0</v>
      </c>
      <c r="D279" s="9">
        <v>0</v>
      </c>
    </row>
    <row r="280" spans="1:4" x14ac:dyDescent="0.45">
      <c r="A280" s="9">
        <v>0</v>
      </c>
      <c r="D280" s="9">
        <v>0</v>
      </c>
    </row>
    <row r="281" spans="1:4" x14ac:dyDescent="0.45">
      <c r="A281" s="9">
        <v>0</v>
      </c>
      <c r="D281" s="9">
        <v>0</v>
      </c>
    </row>
    <row r="282" spans="1:4" x14ac:dyDescent="0.45">
      <c r="A282" s="9">
        <v>0</v>
      </c>
      <c r="D282" s="9">
        <v>0</v>
      </c>
    </row>
    <row r="283" spans="1:4" x14ac:dyDescent="0.45">
      <c r="A283" s="9">
        <v>0</v>
      </c>
      <c r="D283" s="9">
        <v>0</v>
      </c>
    </row>
    <row r="284" spans="1:4" x14ac:dyDescent="0.45">
      <c r="A284" s="9">
        <v>0</v>
      </c>
      <c r="D284" s="9">
        <v>0</v>
      </c>
    </row>
    <row r="285" spans="1:4" x14ac:dyDescent="0.45">
      <c r="A285" s="9">
        <v>0</v>
      </c>
      <c r="D285" s="9">
        <v>0</v>
      </c>
    </row>
    <row r="286" spans="1:4" x14ac:dyDescent="0.45">
      <c r="A286" s="9">
        <v>0</v>
      </c>
      <c r="D286" s="9">
        <v>0</v>
      </c>
    </row>
    <row r="287" spans="1:4" x14ac:dyDescent="0.45">
      <c r="A287" s="9">
        <v>0</v>
      </c>
      <c r="D287" s="9">
        <v>0</v>
      </c>
    </row>
    <row r="288" spans="1:4" x14ac:dyDescent="0.45">
      <c r="A288" s="9">
        <v>0</v>
      </c>
      <c r="D288" s="9">
        <v>0</v>
      </c>
    </row>
    <row r="289" spans="1:4" x14ac:dyDescent="0.45">
      <c r="A289" s="9">
        <v>0</v>
      </c>
      <c r="D289" s="9">
        <v>0</v>
      </c>
    </row>
    <row r="290" spans="1:4" x14ac:dyDescent="0.45">
      <c r="A290" s="9">
        <v>0</v>
      </c>
      <c r="D290" s="9">
        <v>0</v>
      </c>
    </row>
    <row r="291" spans="1:4" x14ac:dyDescent="0.45">
      <c r="A291" s="9">
        <v>0</v>
      </c>
      <c r="D291" s="9">
        <v>0</v>
      </c>
    </row>
    <row r="292" spans="1:4" x14ac:dyDescent="0.45">
      <c r="A292" s="9">
        <v>0</v>
      </c>
      <c r="D292" s="9">
        <v>0</v>
      </c>
    </row>
    <row r="293" spans="1:4" x14ac:dyDescent="0.45">
      <c r="A293" s="9">
        <v>0</v>
      </c>
      <c r="D293" s="9">
        <v>0</v>
      </c>
    </row>
    <row r="294" spans="1:4" x14ac:dyDescent="0.45">
      <c r="A294" s="9">
        <v>0</v>
      </c>
      <c r="D294" s="9">
        <v>0</v>
      </c>
    </row>
    <row r="295" spans="1:4" x14ac:dyDescent="0.45">
      <c r="A295" s="9">
        <v>0</v>
      </c>
      <c r="D295" s="9">
        <v>0</v>
      </c>
    </row>
    <row r="296" spans="1:4" x14ac:dyDescent="0.45">
      <c r="A296" s="9">
        <v>0</v>
      </c>
      <c r="D296" s="9">
        <v>0</v>
      </c>
    </row>
    <row r="297" spans="1:4" x14ac:dyDescent="0.45">
      <c r="A297" s="9">
        <v>0</v>
      </c>
      <c r="D297" s="9">
        <v>0</v>
      </c>
    </row>
    <row r="298" spans="1:4" x14ac:dyDescent="0.45">
      <c r="A298" s="9">
        <v>0</v>
      </c>
      <c r="D298" s="9">
        <v>0</v>
      </c>
    </row>
    <row r="299" spans="1:4" x14ac:dyDescent="0.45">
      <c r="A299" s="9">
        <v>0</v>
      </c>
      <c r="D299" s="9">
        <v>0</v>
      </c>
    </row>
    <row r="300" spans="1:4" x14ac:dyDescent="0.45">
      <c r="A300" s="9">
        <v>0</v>
      </c>
      <c r="D300" s="9">
        <v>0</v>
      </c>
    </row>
    <row r="301" spans="1:4" x14ac:dyDescent="0.45">
      <c r="A301" s="9">
        <v>0</v>
      </c>
      <c r="D301" s="9">
        <v>0</v>
      </c>
    </row>
    <row r="302" spans="1:4" x14ac:dyDescent="0.45">
      <c r="A302" s="9">
        <v>0</v>
      </c>
      <c r="D302" s="9">
        <v>0</v>
      </c>
    </row>
    <row r="303" spans="1:4" x14ac:dyDescent="0.45">
      <c r="A303" s="9">
        <v>0</v>
      </c>
      <c r="D303" s="9">
        <v>0</v>
      </c>
    </row>
    <row r="304" spans="1:4" x14ac:dyDescent="0.45">
      <c r="A304" s="9">
        <v>0</v>
      </c>
      <c r="D304" s="9">
        <v>0</v>
      </c>
    </row>
    <row r="305" spans="1:4" x14ac:dyDescent="0.45">
      <c r="A305" s="9">
        <v>0</v>
      </c>
      <c r="D305" s="9">
        <v>0</v>
      </c>
    </row>
    <row r="306" spans="1:4" x14ac:dyDescent="0.45">
      <c r="A306" s="9">
        <v>0</v>
      </c>
      <c r="D306" s="9">
        <v>0</v>
      </c>
    </row>
    <row r="307" spans="1:4" x14ac:dyDescent="0.45">
      <c r="A307" s="9">
        <v>0</v>
      </c>
      <c r="D307" s="9">
        <v>0</v>
      </c>
    </row>
    <row r="308" spans="1:4" x14ac:dyDescent="0.45">
      <c r="A308" s="9">
        <v>0</v>
      </c>
      <c r="D308" s="9">
        <v>0</v>
      </c>
    </row>
    <row r="309" spans="1:4" x14ac:dyDescent="0.45">
      <c r="A309" s="9">
        <v>0</v>
      </c>
      <c r="D309" s="9">
        <v>0</v>
      </c>
    </row>
    <row r="310" spans="1:4" x14ac:dyDescent="0.45">
      <c r="A310" s="9">
        <v>0</v>
      </c>
      <c r="D310" s="9">
        <v>0</v>
      </c>
    </row>
    <row r="311" spans="1:4" x14ac:dyDescent="0.45">
      <c r="A311" s="9">
        <v>0</v>
      </c>
      <c r="D311" s="9">
        <v>0</v>
      </c>
    </row>
    <row r="312" spans="1:4" x14ac:dyDescent="0.45">
      <c r="A312" s="9">
        <v>0</v>
      </c>
      <c r="D312" s="9">
        <v>0</v>
      </c>
    </row>
    <row r="313" spans="1:4" x14ac:dyDescent="0.45">
      <c r="A313" s="9">
        <v>0</v>
      </c>
      <c r="D313" s="9">
        <v>0</v>
      </c>
    </row>
    <row r="314" spans="1:4" x14ac:dyDescent="0.45">
      <c r="A314" s="9">
        <v>0</v>
      </c>
      <c r="D314" s="9">
        <v>0</v>
      </c>
    </row>
    <row r="315" spans="1:4" x14ac:dyDescent="0.45">
      <c r="A315" s="9">
        <v>0</v>
      </c>
      <c r="D315" s="9">
        <v>0</v>
      </c>
    </row>
    <row r="316" spans="1:4" x14ac:dyDescent="0.45">
      <c r="A316" s="9">
        <v>0</v>
      </c>
      <c r="D316" s="9">
        <v>0</v>
      </c>
    </row>
    <row r="317" spans="1:4" x14ac:dyDescent="0.45">
      <c r="A317" s="9">
        <v>0</v>
      </c>
      <c r="D317" s="9">
        <v>0</v>
      </c>
    </row>
    <row r="318" spans="1:4" x14ac:dyDescent="0.45">
      <c r="A318" s="9">
        <v>0</v>
      </c>
      <c r="D318" s="9">
        <v>0</v>
      </c>
    </row>
    <row r="319" spans="1:4" x14ac:dyDescent="0.45">
      <c r="A319" s="9">
        <v>0</v>
      </c>
      <c r="D319" s="9">
        <v>0</v>
      </c>
    </row>
    <row r="320" spans="1:4" x14ac:dyDescent="0.45">
      <c r="A320" s="9">
        <v>0</v>
      </c>
      <c r="D320" s="9">
        <v>0</v>
      </c>
    </row>
    <row r="321" spans="1:4" x14ac:dyDescent="0.45">
      <c r="A321" s="9">
        <v>0</v>
      </c>
      <c r="D321" s="9">
        <v>0</v>
      </c>
    </row>
    <row r="322" spans="1:4" x14ac:dyDescent="0.45">
      <c r="A322" s="9">
        <v>0</v>
      </c>
      <c r="D322" s="9">
        <v>0</v>
      </c>
    </row>
    <row r="323" spans="1:4" x14ac:dyDescent="0.45">
      <c r="A323" s="9">
        <v>0</v>
      </c>
      <c r="D323" s="9">
        <v>0</v>
      </c>
    </row>
    <row r="324" spans="1:4" x14ac:dyDescent="0.45">
      <c r="A324" s="9">
        <v>0</v>
      </c>
      <c r="D324" s="9">
        <v>0</v>
      </c>
    </row>
    <row r="325" spans="1:4" x14ac:dyDescent="0.45">
      <c r="A325" s="9">
        <v>0</v>
      </c>
      <c r="D325" s="9">
        <v>0</v>
      </c>
    </row>
    <row r="326" spans="1:4" x14ac:dyDescent="0.45">
      <c r="A326" s="9">
        <v>0</v>
      </c>
      <c r="D326" s="9">
        <v>0</v>
      </c>
    </row>
    <row r="327" spans="1:4" x14ac:dyDescent="0.45">
      <c r="A327" s="9">
        <v>0</v>
      </c>
      <c r="D327" s="9">
        <v>0</v>
      </c>
    </row>
    <row r="328" spans="1:4" x14ac:dyDescent="0.45">
      <c r="A328" s="9">
        <v>0</v>
      </c>
      <c r="D328" s="9">
        <v>0</v>
      </c>
    </row>
    <row r="329" spans="1:4" x14ac:dyDescent="0.45">
      <c r="A329" s="9">
        <v>0</v>
      </c>
      <c r="D329" s="9">
        <v>0</v>
      </c>
    </row>
    <row r="330" spans="1:4" x14ac:dyDescent="0.45">
      <c r="A330" s="9">
        <v>0</v>
      </c>
      <c r="D330" s="9">
        <v>0</v>
      </c>
    </row>
    <row r="331" spans="1:4" x14ac:dyDescent="0.45">
      <c r="A331" s="9">
        <v>0</v>
      </c>
      <c r="D331" s="9">
        <v>0</v>
      </c>
    </row>
    <row r="332" spans="1:4" x14ac:dyDescent="0.45">
      <c r="A332" s="9">
        <v>0</v>
      </c>
      <c r="D332" s="9">
        <v>0</v>
      </c>
    </row>
    <row r="333" spans="1:4" x14ac:dyDescent="0.45">
      <c r="A333" s="9">
        <v>0</v>
      </c>
      <c r="D333" s="9">
        <v>0</v>
      </c>
    </row>
    <row r="334" spans="1:4" x14ac:dyDescent="0.45">
      <c r="A334" s="9">
        <v>0</v>
      </c>
      <c r="D334" s="9">
        <v>0</v>
      </c>
    </row>
    <row r="335" spans="1:4" x14ac:dyDescent="0.45">
      <c r="A335" s="9">
        <v>0</v>
      </c>
      <c r="D335" s="9">
        <v>0</v>
      </c>
    </row>
    <row r="336" spans="1:4" x14ac:dyDescent="0.45">
      <c r="A336" s="9">
        <v>0</v>
      </c>
      <c r="D336" s="9">
        <v>0</v>
      </c>
    </row>
    <row r="337" spans="1:4" x14ac:dyDescent="0.45">
      <c r="A337" s="9">
        <v>0</v>
      </c>
      <c r="D337" s="9">
        <v>0</v>
      </c>
    </row>
    <row r="338" spans="1:4" x14ac:dyDescent="0.45">
      <c r="A338" s="9">
        <v>0</v>
      </c>
      <c r="D338" s="9">
        <v>0</v>
      </c>
    </row>
    <row r="339" spans="1:4" x14ac:dyDescent="0.45">
      <c r="A339" s="9">
        <v>0</v>
      </c>
      <c r="D339" s="9">
        <v>0</v>
      </c>
    </row>
    <row r="340" spans="1:4" x14ac:dyDescent="0.45">
      <c r="A340" s="9">
        <v>0</v>
      </c>
      <c r="D340" s="9">
        <v>0</v>
      </c>
    </row>
    <row r="341" spans="1:4" x14ac:dyDescent="0.45">
      <c r="A341" s="9">
        <v>0</v>
      </c>
      <c r="D341" s="9">
        <v>0</v>
      </c>
    </row>
    <row r="342" spans="1:4" x14ac:dyDescent="0.45">
      <c r="A342" s="9">
        <v>0</v>
      </c>
      <c r="D342" s="9">
        <v>0</v>
      </c>
    </row>
    <row r="343" spans="1:4" x14ac:dyDescent="0.45">
      <c r="A343" s="9">
        <v>0</v>
      </c>
      <c r="D343" s="9">
        <v>0</v>
      </c>
    </row>
    <row r="344" spans="1:4" x14ac:dyDescent="0.45">
      <c r="A344" s="9">
        <v>0</v>
      </c>
      <c r="D344" s="9">
        <v>0</v>
      </c>
    </row>
    <row r="345" spans="1:4" x14ac:dyDescent="0.45">
      <c r="A345" s="9">
        <v>0</v>
      </c>
      <c r="D345" s="9">
        <v>0</v>
      </c>
    </row>
    <row r="346" spans="1:4" x14ac:dyDescent="0.45">
      <c r="A346" s="9">
        <v>0</v>
      </c>
      <c r="D346" s="9">
        <v>0</v>
      </c>
    </row>
    <row r="347" spans="1:4" x14ac:dyDescent="0.45">
      <c r="A347" s="9">
        <v>0</v>
      </c>
      <c r="D347" s="9">
        <v>0</v>
      </c>
    </row>
    <row r="348" spans="1:4" x14ac:dyDescent="0.45">
      <c r="A348" s="9">
        <v>0</v>
      </c>
      <c r="D348" s="9">
        <v>0</v>
      </c>
    </row>
    <row r="349" spans="1:4" x14ac:dyDescent="0.45">
      <c r="A349" s="9">
        <v>0</v>
      </c>
      <c r="D349" s="9">
        <v>0</v>
      </c>
    </row>
    <row r="350" spans="1:4" x14ac:dyDescent="0.45">
      <c r="A350" s="9">
        <v>0</v>
      </c>
      <c r="D350" s="9">
        <v>0</v>
      </c>
    </row>
    <row r="351" spans="1:4" x14ac:dyDescent="0.45">
      <c r="A351" s="9">
        <v>0</v>
      </c>
      <c r="D351" s="9">
        <v>0</v>
      </c>
    </row>
    <row r="352" spans="1:4" x14ac:dyDescent="0.45">
      <c r="A352" s="9">
        <v>0</v>
      </c>
      <c r="D352" s="9">
        <v>0</v>
      </c>
    </row>
    <row r="353" spans="1:4" x14ac:dyDescent="0.45">
      <c r="A353" s="9">
        <v>0</v>
      </c>
      <c r="D353" s="9">
        <v>0</v>
      </c>
    </row>
    <row r="354" spans="1:4" x14ac:dyDescent="0.45">
      <c r="A354" s="9">
        <v>0</v>
      </c>
      <c r="D354" s="9">
        <v>0</v>
      </c>
    </row>
    <row r="355" spans="1:4" x14ac:dyDescent="0.45">
      <c r="A355" s="9">
        <v>0</v>
      </c>
      <c r="D355" s="9">
        <v>0</v>
      </c>
    </row>
    <row r="356" spans="1:4" x14ac:dyDescent="0.45">
      <c r="A356" s="9">
        <v>0</v>
      </c>
      <c r="D356" s="9">
        <v>0</v>
      </c>
    </row>
    <row r="357" spans="1:4" x14ac:dyDescent="0.45">
      <c r="A357" s="9">
        <v>0</v>
      </c>
      <c r="D357" s="9">
        <v>0</v>
      </c>
    </row>
    <row r="358" spans="1:4" x14ac:dyDescent="0.45">
      <c r="A358" s="9">
        <v>0</v>
      </c>
      <c r="D358" s="9">
        <v>0</v>
      </c>
    </row>
    <row r="359" spans="1:4" x14ac:dyDescent="0.45">
      <c r="A359" s="9">
        <v>0</v>
      </c>
      <c r="D359" s="9">
        <v>0</v>
      </c>
    </row>
    <row r="360" spans="1:4" x14ac:dyDescent="0.45">
      <c r="A360" s="9">
        <v>0</v>
      </c>
      <c r="D360" s="9">
        <v>0</v>
      </c>
    </row>
    <row r="361" spans="1:4" x14ac:dyDescent="0.45">
      <c r="A361" s="9">
        <v>0</v>
      </c>
      <c r="D361" s="9">
        <v>0</v>
      </c>
    </row>
    <row r="362" spans="1:4" x14ac:dyDescent="0.45">
      <c r="A362" s="9">
        <v>0</v>
      </c>
      <c r="D362" s="9">
        <v>0</v>
      </c>
    </row>
    <row r="363" spans="1:4" x14ac:dyDescent="0.45">
      <c r="A363" s="9">
        <v>0</v>
      </c>
      <c r="D363" s="9">
        <v>0</v>
      </c>
    </row>
    <row r="364" spans="1:4" x14ac:dyDescent="0.45">
      <c r="A364" s="9">
        <v>0</v>
      </c>
      <c r="D364" s="9">
        <v>0</v>
      </c>
    </row>
    <row r="365" spans="1:4" x14ac:dyDescent="0.45">
      <c r="A365" s="9">
        <v>0</v>
      </c>
      <c r="D365" s="9">
        <v>0</v>
      </c>
    </row>
    <row r="366" spans="1:4" x14ac:dyDescent="0.45">
      <c r="A366" s="9">
        <v>0</v>
      </c>
      <c r="D366" s="9">
        <v>0</v>
      </c>
    </row>
    <row r="367" spans="1:4" x14ac:dyDescent="0.45">
      <c r="A367" s="9">
        <v>0</v>
      </c>
      <c r="D367" s="9">
        <v>0</v>
      </c>
    </row>
    <row r="368" spans="1:4" x14ac:dyDescent="0.45">
      <c r="A368" s="9">
        <v>0</v>
      </c>
      <c r="D368" s="9">
        <v>0</v>
      </c>
    </row>
    <row r="369" spans="1:4" x14ac:dyDescent="0.45">
      <c r="A369" s="9">
        <v>0</v>
      </c>
      <c r="D369" s="9">
        <v>0</v>
      </c>
    </row>
    <row r="370" spans="1:4" x14ac:dyDescent="0.45">
      <c r="A370" s="9">
        <v>0</v>
      </c>
      <c r="D370" s="9">
        <v>0</v>
      </c>
    </row>
    <row r="371" spans="1:4" x14ac:dyDescent="0.45">
      <c r="A371" s="9">
        <v>0</v>
      </c>
      <c r="D371" s="9">
        <v>0</v>
      </c>
    </row>
    <row r="372" spans="1:4" x14ac:dyDescent="0.45">
      <c r="A372" s="9">
        <v>0</v>
      </c>
      <c r="D372" s="9">
        <v>0</v>
      </c>
    </row>
    <row r="373" spans="1:4" x14ac:dyDescent="0.45">
      <c r="A373" s="9">
        <v>0</v>
      </c>
      <c r="D373" s="9">
        <v>0</v>
      </c>
    </row>
    <row r="374" spans="1:4" x14ac:dyDescent="0.45">
      <c r="A374" s="9">
        <v>0</v>
      </c>
      <c r="D374" s="9">
        <v>0</v>
      </c>
    </row>
    <row r="375" spans="1:4" x14ac:dyDescent="0.45">
      <c r="A375" s="9">
        <v>0</v>
      </c>
      <c r="D375" s="9">
        <v>0</v>
      </c>
    </row>
    <row r="376" spans="1:4" x14ac:dyDescent="0.45">
      <c r="A376" s="9">
        <v>0</v>
      </c>
      <c r="D376" s="9">
        <v>0</v>
      </c>
    </row>
    <row r="377" spans="1:4" x14ac:dyDescent="0.45">
      <c r="A377" s="9">
        <v>0</v>
      </c>
      <c r="D377" s="9">
        <v>0</v>
      </c>
    </row>
    <row r="378" spans="1:4" x14ac:dyDescent="0.45">
      <c r="A378" s="9">
        <v>0</v>
      </c>
      <c r="D378" s="9">
        <v>0</v>
      </c>
    </row>
    <row r="379" spans="1:4" x14ac:dyDescent="0.45">
      <c r="A379" s="9">
        <v>0</v>
      </c>
      <c r="D379" s="9">
        <v>0</v>
      </c>
    </row>
    <row r="380" spans="1:4" x14ac:dyDescent="0.45">
      <c r="A380" s="9">
        <v>0</v>
      </c>
      <c r="D380" s="9">
        <v>0</v>
      </c>
    </row>
    <row r="381" spans="1:4" x14ac:dyDescent="0.45">
      <c r="A381" s="9">
        <v>0</v>
      </c>
      <c r="D381" s="9">
        <v>0</v>
      </c>
    </row>
    <row r="382" spans="1:4" x14ac:dyDescent="0.45">
      <c r="A382" s="9">
        <v>0</v>
      </c>
      <c r="D382" s="9">
        <v>0</v>
      </c>
    </row>
    <row r="383" spans="1:4" x14ac:dyDescent="0.45">
      <c r="A383" s="9">
        <v>0</v>
      </c>
      <c r="D383" s="9">
        <v>0</v>
      </c>
    </row>
    <row r="384" spans="1:4" x14ac:dyDescent="0.45">
      <c r="A384" s="9">
        <v>0</v>
      </c>
      <c r="D384" s="9">
        <v>0</v>
      </c>
    </row>
    <row r="385" spans="1:4" x14ac:dyDescent="0.45">
      <c r="A385" s="9">
        <v>0</v>
      </c>
      <c r="D385" s="9">
        <v>0</v>
      </c>
    </row>
    <row r="386" spans="1:4" x14ac:dyDescent="0.45">
      <c r="A386" s="9">
        <v>0</v>
      </c>
      <c r="D386" s="9">
        <v>0</v>
      </c>
    </row>
    <row r="387" spans="1:4" x14ac:dyDescent="0.45">
      <c r="A387" s="9">
        <v>0</v>
      </c>
      <c r="D387" s="9">
        <v>0</v>
      </c>
    </row>
    <row r="388" spans="1:4" x14ac:dyDescent="0.45">
      <c r="A388" s="9">
        <v>0</v>
      </c>
      <c r="D388" s="9">
        <v>0</v>
      </c>
    </row>
    <row r="389" spans="1:4" x14ac:dyDescent="0.45">
      <c r="A389" s="9">
        <v>0</v>
      </c>
      <c r="D389" s="9">
        <v>0</v>
      </c>
    </row>
    <row r="390" spans="1:4" x14ac:dyDescent="0.45">
      <c r="A390" s="9">
        <v>0</v>
      </c>
      <c r="D390" s="9">
        <v>0</v>
      </c>
    </row>
    <row r="391" spans="1:4" x14ac:dyDescent="0.45">
      <c r="A391" s="9">
        <v>0</v>
      </c>
      <c r="D391" s="9">
        <v>0</v>
      </c>
    </row>
    <row r="392" spans="1:4" x14ac:dyDescent="0.45">
      <c r="A392" s="9">
        <v>0</v>
      </c>
      <c r="D392" s="9">
        <v>0</v>
      </c>
    </row>
    <row r="393" spans="1:4" x14ac:dyDescent="0.45">
      <c r="A393" s="9">
        <v>0</v>
      </c>
      <c r="D393" s="9">
        <v>0</v>
      </c>
    </row>
    <row r="394" spans="1:4" x14ac:dyDescent="0.45">
      <c r="A394" s="9">
        <v>0</v>
      </c>
      <c r="D394" s="9">
        <v>0</v>
      </c>
    </row>
    <row r="395" spans="1:4" x14ac:dyDescent="0.45">
      <c r="A395" s="9">
        <v>0</v>
      </c>
      <c r="D395" s="9">
        <v>0</v>
      </c>
    </row>
    <row r="396" spans="1:4" x14ac:dyDescent="0.45">
      <c r="A396" s="9">
        <v>0</v>
      </c>
      <c r="D396" s="9">
        <v>0</v>
      </c>
    </row>
    <row r="397" spans="1:4" x14ac:dyDescent="0.45">
      <c r="A397" s="9">
        <v>0</v>
      </c>
      <c r="D397" s="9">
        <v>0</v>
      </c>
    </row>
    <row r="398" spans="1:4" x14ac:dyDescent="0.45">
      <c r="A398" s="9">
        <v>0</v>
      </c>
      <c r="D398" s="9">
        <v>0</v>
      </c>
    </row>
    <row r="399" spans="1:4" x14ac:dyDescent="0.45">
      <c r="A399" s="9">
        <v>0</v>
      </c>
      <c r="D399" s="9">
        <v>0</v>
      </c>
    </row>
    <row r="400" spans="1:4" x14ac:dyDescent="0.45">
      <c r="A400" s="9">
        <v>0</v>
      </c>
      <c r="D400" s="9">
        <v>0</v>
      </c>
    </row>
    <row r="401" spans="1:4" x14ac:dyDescent="0.45">
      <c r="A401" s="9">
        <v>0</v>
      </c>
      <c r="D401" s="9">
        <v>0</v>
      </c>
    </row>
    <row r="402" spans="1:4" x14ac:dyDescent="0.45">
      <c r="A402" s="9">
        <v>0</v>
      </c>
      <c r="D402" s="9">
        <v>0</v>
      </c>
    </row>
    <row r="403" spans="1:4" x14ac:dyDescent="0.45">
      <c r="A403" s="9">
        <v>0</v>
      </c>
      <c r="D403" s="9">
        <v>0</v>
      </c>
    </row>
    <row r="404" spans="1:4" x14ac:dyDescent="0.45">
      <c r="A404" s="9">
        <v>0</v>
      </c>
      <c r="D404" s="9">
        <v>0</v>
      </c>
    </row>
    <row r="405" spans="1:4" x14ac:dyDescent="0.45">
      <c r="A405" s="9">
        <v>0</v>
      </c>
      <c r="D405" s="9">
        <v>0</v>
      </c>
    </row>
    <row r="406" spans="1:4" x14ac:dyDescent="0.45">
      <c r="A406" s="9">
        <v>0</v>
      </c>
      <c r="D406" s="9">
        <v>0</v>
      </c>
    </row>
    <row r="407" spans="1:4" x14ac:dyDescent="0.45">
      <c r="A407" s="9">
        <v>0</v>
      </c>
      <c r="D407" s="9">
        <v>0</v>
      </c>
    </row>
    <row r="408" spans="1:4" x14ac:dyDescent="0.45">
      <c r="A408" s="9">
        <v>0</v>
      </c>
      <c r="D408" s="9">
        <v>0</v>
      </c>
    </row>
    <row r="409" spans="1:4" x14ac:dyDescent="0.45">
      <c r="A409" s="9">
        <v>0</v>
      </c>
      <c r="D409" s="9">
        <v>0</v>
      </c>
    </row>
    <row r="410" spans="1:4" x14ac:dyDescent="0.45">
      <c r="A410" s="9">
        <v>0</v>
      </c>
      <c r="D410" s="9">
        <v>0</v>
      </c>
    </row>
    <row r="411" spans="1:4" x14ac:dyDescent="0.45">
      <c r="A411" s="9">
        <v>0</v>
      </c>
      <c r="D411" s="9">
        <v>0</v>
      </c>
    </row>
    <row r="412" spans="1:4" x14ac:dyDescent="0.45">
      <c r="A412" s="9">
        <v>0</v>
      </c>
      <c r="D412" s="9">
        <v>0</v>
      </c>
    </row>
    <row r="413" spans="1:4" x14ac:dyDescent="0.45">
      <c r="A413" s="9">
        <v>0</v>
      </c>
      <c r="D413" s="9">
        <v>0</v>
      </c>
    </row>
    <row r="414" spans="1:4" x14ac:dyDescent="0.45">
      <c r="A414" s="9">
        <v>0</v>
      </c>
      <c r="D414" s="9">
        <v>0</v>
      </c>
    </row>
    <row r="415" spans="1:4" x14ac:dyDescent="0.45">
      <c r="A415" s="9">
        <v>0</v>
      </c>
      <c r="D415" s="9">
        <v>0</v>
      </c>
    </row>
    <row r="416" spans="1:4" x14ac:dyDescent="0.45">
      <c r="A416" s="9">
        <v>0</v>
      </c>
      <c r="D416" s="9">
        <v>0</v>
      </c>
    </row>
    <row r="417" spans="1:4" x14ac:dyDescent="0.45">
      <c r="A417" s="9">
        <v>0</v>
      </c>
      <c r="D417" s="9">
        <v>0</v>
      </c>
    </row>
    <row r="418" spans="1:4" x14ac:dyDescent="0.45">
      <c r="A418" s="9">
        <v>0</v>
      </c>
      <c r="D418" s="9">
        <v>0</v>
      </c>
    </row>
    <row r="419" spans="1:4" x14ac:dyDescent="0.45">
      <c r="A419" s="9">
        <v>0</v>
      </c>
      <c r="D419" s="9">
        <v>0</v>
      </c>
    </row>
    <row r="420" spans="1:4" x14ac:dyDescent="0.45">
      <c r="A420" s="9">
        <v>0</v>
      </c>
      <c r="D420" s="9">
        <v>0</v>
      </c>
    </row>
    <row r="421" spans="1:4" x14ac:dyDescent="0.45">
      <c r="A421" s="9">
        <v>0</v>
      </c>
      <c r="D421" s="9">
        <v>0</v>
      </c>
    </row>
    <row r="422" spans="1:4" x14ac:dyDescent="0.45">
      <c r="A422" s="9">
        <v>0</v>
      </c>
      <c r="D422" s="9">
        <v>0</v>
      </c>
    </row>
    <row r="423" spans="1:4" x14ac:dyDescent="0.45">
      <c r="A423" s="9">
        <v>0</v>
      </c>
      <c r="D423" s="9">
        <v>0</v>
      </c>
    </row>
    <row r="424" spans="1:4" x14ac:dyDescent="0.45">
      <c r="A424" s="9">
        <v>0</v>
      </c>
      <c r="D424" s="9">
        <v>0</v>
      </c>
    </row>
    <row r="425" spans="1:4" x14ac:dyDescent="0.45">
      <c r="A425" s="9">
        <v>0</v>
      </c>
      <c r="D425" s="9">
        <v>0</v>
      </c>
    </row>
    <row r="426" spans="1:4" x14ac:dyDescent="0.45">
      <c r="A426" s="9">
        <v>0</v>
      </c>
      <c r="D426" s="9">
        <v>0</v>
      </c>
    </row>
    <row r="427" spans="1:4" x14ac:dyDescent="0.45">
      <c r="A427" s="9">
        <v>0</v>
      </c>
      <c r="D427" s="9">
        <v>0</v>
      </c>
    </row>
    <row r="428" spans="1:4" x14ac:dyDescent="0.45">
      <c r="A428" s="9">
        <v>0</v>
      </c>
      <c r="D428" s="9">
        <v>0</v>
      </c>
    </row>
    <row r="429" spans="1:4" x14ac:dyDescent="0.45">
      <c r="A429" s="9">
        <v>0</v>
      </c>
      <c r="D429" s="9">
        <v>0</v>
      </c>
    </row>
    <row r="430" spans="1:4" x14ac:dyDescent="0.45">
      <c r="A430" s="9">
        <v>0</v>
      </c>
      <c r="D430" s="9">
        <v>0</v>
      </c>
    </row>
    <row r="431" spans="1:4" x14ac:dyDescent="0.45">
      <c r="A431" s="9">
        <v>0</v>
      </c>
      <c r="D431" s="9">
        <v>0</v>
      </c>
    </row>
    <row r="432" spans="1:4" x14ac:dyDescent="0.45">
      <c r="A432" s="9">
        <v>0</v>
      </c>
      <c r="D432" s="9">
        <v>0</v>
      </c>
    </row>
    <row r="433" spans="1:4" x14ac:dyDescent="0.45">
      <c r="A433" s="9">
        <v>0</v>
      </c>
      <c r="D433" s="9">
        <v>0</v>
      </c>
    </row>
    <row r="434" spans="1:4" x14ac:dyDescent="0.45">
      <c r="A434" s="9">
        <v>0</v>
      </c>
      <c r="D434" s="9">
        <v>0</v>
      </c>
    </row>
    <row r="435" spans="1:4" x14ac:dyDescent="0.45">
      <c r="A435" s="9">
        <v>0</v>
      </c>
      <c r="D435" s="9">
        <v>0</v>
      </c>
    </row>
    <row r="436" spans="1:4" x14ac:dyDescent="0.45">
      <c r="A436" s="9">
        <v>0</v>
      </c>
      <c r="D436" s="9">
        <v>0</v>
      </c>
    </row>
    <row r="437" spans="1:4" x14ac:dyDescent="0.45">
      <c r="A437" s="9">
        <v>0</v>
      </c>
      <c r="D437" s="9">
        <v>0</v>
      </c>
    </row>
    <row r="438" spans="1:4" x14ac:dyDescent="0.45">
      <c r="A438" s="9">
        <v>0</v>
      </c>
      <c r="D438" s="9">
        <v>0</v>
      </c>
    </row>
    <row r="439" spans="1:4" x14ac:dyDescent="0.45">
      <c r="A439" s="9">
        <v>0</v>
      </c>
      <c r="D439" s="9">
        <v>0</v>
      </c>
    </row>
    <row r="440" spans="1:4" x14ac:dyDescent="0.45">
      <c r="A440" s="9">
        <v>0</v>
      </c>
      <c r="D440" s="9">
        <v>0</v>
      </c>
    </row>
    <row r="441" spans="1:4" x14ac:dyDescent="0.45">
      <c r="A441" s="9">
        <v>0</v>
      </c>
      <c r="D441" s="9">
        <v>0</v>
      </c>
    </row>
    <row r="442" spans="1:4" x14ac:dyDescent="0.45">
      <c r="A442" s="9">
        <v>0</v>
      </c>
      <c r="D442" s="9">
        <v>0</v>
      </c>
    </row>
    <row r="443" spans="1:4" x14ac:dyDescent="0.45">
      <c r="A443" s="9">
        <v>0</v>
      </c>
      <c r="D443" s="9">
        <v>0</v>
      </c>
    </row>
    <row r="444" spans="1:4" x14ac:dyDescent="0.45">
      <c r="A444" s="9">
        <v>0</v>
      </c>
      <c r="D444" s="9">
        <v>0</v>
      </c>
    </row>
    <row r="445" spans="1:4" x14ac:dyDescent="0.45">
      <c r="A445" s="9">
        <v>0</v>
      </c>
      <c r="D445" s="9">
        <v>0</v>
      </c>
    </row>
    <row r="446" spans="1:4" x14ac:dyDescent="0.45">
      <c r="A446" s="9">
        <v>0</v>
      </c>
      <c r="D446" s="9">
        <v>0</v>
      </c>
    </row>
    <row r="447" spans="1:4" x14ac:dyDescent="0.45">
      <c r="A447" s="9">
        <v>0</v>
      </c>
      <c r="D447" s="9">
        <v>0</v>
      </c>
    </row>
    <row r="448" spans="1:4" x14ac:dyDescent="0.45">
      <c r="A448" s="9">
        <v>0</v>
      </c>
      <c r="D448" s="9">
        <v>0</v>
      </c>
    </row>
    <row r="449" spans="1:4" x14ac:dyDescent="0.45">
      <c r="A449" s="9">
        <v>0</v>
      </c>
      <c r="D449" s="9">
        <v>0</v>
      </c>
    </row>
    <row r="450" spans="1:4" x14ac:dyDescent="0.45">
      <c r="A450" s="9">
        <v>0</v>
      </c>
      <c r="D450" s="9">
        <v>0</v>
      </c>
    </row>
    <row r="451" spans="1:4" x14ac:dyDescent="0.45">
      <c r="A451" s="9">
        <v>0</v>
      </c>
      <c r="D451" s="9">
        <v>0</v>
      </c>
    </row>
    <row r="452" spans="1:4" x14ac:dyDescent="0.45">
      <c r="A452" s="9">
        <v>0</v>
      </c>
      <c r="D452" s="9">
        <v>0</v>
      </c>
    </row>
    <row r="453" spans="1:4" x14ac:dyDescent="0.45">
      <c r="A453" s="9">
        <v>0</v>
      </c>
      <c r="D453" s="9">
        <v>0</v>
      </c>
    </row>
    <row r="454" spans="1:4" x14ac:dyDescent="0.45">
      <c r="A454" s="9">
        <v>0</v>
      </c>
      <c r="D454" s="9">
        <v>0</v>
      </c>
    </row>
    <row r="455" spans="1:4" x14ac:dyDescent="0.45">
      <c r="A455" s="9">
        <v>0</v>
      </c>
      <c r="D455" s="9">
        <v>0</v>
      </c>
    </row>
    <row r="456" spans="1:4" x14ac:dyDescent="0.45">
      <c r="A456" s="9">
        <v>0</v>
      </c>
      <c r="D456" s="9">
        <v>0</v>
      </c>
    </row>
    <row r="457" spans="1:4" x14ac:dyDescent="0.45">
      <c r="A457" s="9">
        <v>0</v>
      </c>
      <c r="D457" s="9">
        <v>0</v>
      </c>
    </row>
    <row r="458" spans="1:4" x14ac:dyDescent="0.45">
      <c r="A458" s="9">
        <v>0</v>
      </c>
      <c r="D458" s="9">
        <v>0</v>
      </c>
    </row>
    <row r="459" spans="1:4" x14ac:dyDescent="0.45">
      <c r="A459" s="9">
        <v>0</v>
      </c>
      <c r="D459" s="9">
        <v>0</v>
      </c>
    </row>
    <row r="460" spans="1:4" x14ac:dyDescent="0.45">
      <c r="A460" s="9">
        <v>0</v>
      </c>
      <c r="D460" s="9">
        <v>0</v>
      </c>
    </row>
    <row r="461" spans="1:4" x14ac:dyDescent="0.45">
      <c r="A461" s="9">
        <v>0</v>
      </c>
      <c r="D461" s="9">
        <v>0</v>
      </c>
    </row>
    <row r="462" spans="1:4" x14ac:dyDescent="0.45">
      <c r="A462" s="9">
        <v>0</v>
      </c>
      <c r="D462" s="9">
        <v>0</v>
      </c>
    </row>
    <row r="463" spans="1:4" x14ac:dyDescent="0.45">
      <c r="A463" s="9">
        <v>0</v>
      </c>
      <c r="D463" s="9">
        <v>0</v>
      </c>
    </row>
    <row r="464" spans="1:4" x14ac:dyDescent="0.45">
      <c r="A464" s="9">
        <v>0</v>
      </c>
      <c r="D464" s="9">
        <v>0</v>
      </c>
    </row>
    <row r="465" spans="1:4" x14ac:dyDescent="0.45">
      <c r="A465" s="9">
        <v>0</v>
      </c>
      <c r="D465" s="9">
        <v>0</v>
      </c>
    </row>
    <row r="466" spans="1:4" x14ac:dyDescent="0.45">
      <c r="A466" s="9">
        <v>0</v>
      </c>
      <c r="D466" s="9">
        <v>0</v>
      </c>
    </row>
    <row r="467" spans="1:4" x14ac:dyDescent="0.45">
      <c r="A467" s="9">
        <v>0</v>
      </c>
      <c r="D467" s="9">
        <v>0</v>
      </c>
    </row>
    <row r="468" spans="1:4" x14ac:dyDescent="0.45">
      <c r="A468" s="9">
        <v>0</v>
      </c>
      <c r="D468" s="9">
        <v>0</v>
      </c>
    </row>
    <row r="469" spans="1:4" x14ac:dyDescent="0.45">
      <c r="A469" s="9">
        <v>0</v>
      </c>
      <c r="D469" s="9">
        <v>0</v>
      </c>
    </row>
    <row r="470" spans="1:4" x14ac:dyDescent="0.45">
      <c r="A470" s="9">
        <v>0</v>
      </c>
      <c r="D470" s="9">
        <v>0</v>
      </c>
    </row>
    <row r="471" spans="1:4" x14ac:dyDescent="0.45">
      <c r="A471" s="9">
        <v>0</v>
      </c>
      <c r="D471" s="9">
        <v>0</v>
      </c>
    </row>
    <row r="472" spans="1:4" x14ac:dyDescent="0.45">
      <c r="A472" s="9">
        <v>0</v>
      </c>
      <c r="D472" s="9">
        <v>0</v>
      </c>
    </row>
    <row r="473" spans="1:4" x14ac:dyDescent="0.45">
      <c r="A473" s="9">
        <v>0</v>
      </c>
      <c r="D473" s="9">
        <v>0</v>
      </c>
    </row>
    <row r="474" spans="1:4" x14ac:dyDescent="0.45">
      <c r="A474" s="9">
        <v>0</v>
      </c>
      <c r="D474" s="9">
        <v>0</v>
      </c>
    </row>
    <row r="475" spans="1:4" x14ac:dyDescent="0.45">
      <c r="A475" s="9">
        <v>0</v>
      </c>
      <c r="D475" s="9">
        <v>0</v>
      </c>
    </row>
    <row r="476" spans="1:4" x14ac:dyDescent="0.45">
      <c r="A476" s="9">
        <v>0</v>
      </c>
      <c r="D476" s="9">
        <v>0</v>
      </c>
    </row>
    <row r="477" spans="1:4" x14ac:dyDescent="0.45">
      <c r="A477" s="9">
        <v>0</v>
      </c>
      <c r="D477" s="9">
        <v>0</v>
      </c>
    </row>
    <row r="478" spans="1:4" x14ac:dyDescent="0.45">
      <c r="A478" s="9">
        <v>0</v>
      </c>
      <c r="D478" s="9">
        <v>0</v>
      </c>
    </row>
    <row r="479" spans="1:4" x14ac:dyDescent="0.45">
      <c r="A479" s="9">
        <v>0</v>
      </c>
      <c r="D479" s="9">
        <v>0</v>
      </c>
    </row>
    <row r="480" spans="1:4" x14ac:dyDescent="0.45">
      <c r="A480" s="9">
        <v>0</v>
      </c>
      <c r="D480" s="9">
        <v>0</v>
      </c>
    </row>
    <row r="481" spans="1:4" x14ac:dyDescent="0.45">
      <c r="A481" s="9">
        <v>0</v>
      </c>
      <c r="D481" s="9">
        <v>0</v>
      </c>
    </row>
    <row r="482" spans="1:4" x14ac:dyDescent="0.45">
      <c r="A482" s="9">
        <v>0</v>
      </c>
      <c r="D482" s="9">
        <v>0</v>
      </c>
    </row>
    <row r="483" spans="1:4" x14ac:dyDescent="0.45">
      <c r="A483" s="9">
        <v>0</v>
      </c>
      <c r="D483" s="9">
        <v>0</v>
      </c>
    </row>
    <row r="484" spans="1:4" x14ac:dyDescent="0.45">
      <c r="A484" s="9">
        <v>0</v>
      </c>
      <c r="D484" s="9">
        <v>0</v>
      </c>
    </row>
    <row r="485" spans="1:4" x14ac:dyDescent="0.45">
      <c r="A485" s="9">
        <v>0</v>
      </c>
      <c r="D485" s="9">
        <v>0</v>
      </c>
    </row>
    <row r="486" spans="1:4" x14ac:dyDescent="0.45">
      <c r="A486" s="9">
        <v>0</v>
      </c>
      <c r="D486" s="9">
        <v>0</v>
      </c>
    </row>
    <row r="487" spans="1:4" x14ac:dyDescent="0.45">
      <c r="A487" s="9">
        <v>0</v>
      </c>
      <c r="D487" s="9">
        <v>0</v>
      </c>
    </row>
    <row r="488" spans="1:4" x14ac:dyDescent="0.45">
      <c r="A488" s="9">
        <v>0</v>
      </c>
      <c r="D488" s="9">
        <v>0</v>
      </c>
    </row>
    <row r="489" spans="1:4" x14ac:dyDescent="0.45">
      <c r="A489" s="9">
        <v>0</v>
      </c>
      <c r="D489" s="9">
        <v>0</v>
      </c>
    </row>
    <row r="490" spans="1:4" x14ac:dyDescent="0.45">
      <c r="A490" s="9">
        <v>0</v>
      </c>
      <c r="D490" s="9">
        <v>0</v>
      </c>
    </row>
    <row r="491" spans="1:4" x14ac:dyDescent="0.45">
      <c r="A491" s="9">
        <v>0</v>
      </c>
      <c r="D491" s="9">
        <v>0</v>
      </c>
    </row>
    <row r="492" spans="1:4" x14ac:dyDescent="0.45">
      <c r="A492" s="9">
        <v>0</v>
      </c>
      <c r="D492" s="9">
        <v>0</v>
      </c>
    </row>
    <row r="493" spans="1:4" x14ac:dyDescent="0.45">
      <c r="A493" s="9">
        <v>0</v>
      </c>
      <c r="D493" s="9">
        <v>0</v>
      </c>
    </row>
    <row r="494" spans="1:4" x14ac:dyDescent="0.45">
      <c r="A494" s="9">
        <v>0</v>
      </c>
      <c r="D494" s="9">
        <v>0</v>
      </c>
    </row>
    <row r="495" spans="1:4" x14ac:dyDescent="0.45">
      <c r="A495" s="9">
        <v>0</v>
      </c>
      <c r="D495" s="9">
        <v>0</v>
      </c>
    </row>
    <row r="496" spans="1:4" x14ac:dyDescent="0.45">
      <c r="A496" s="9">
        <v>0</v>
      </c>
      <c r="D496" s="9">
        <v>0</v>
      </c>
    </row>
    <row r="497" spans="1:4" x14ac:dyDescent="0.45">
      <c r="A497" s="9">
        <v>0</v>
      </c>
      <c r="D497" s="9">
        <v>0</v>
      </c>
    </row>
    <row r="498" spans="1:4" x14ac:dyDescent="0.45">
      <c r="A498" s="9">
        <v>0</v>
      </c>
      <c r="D498" s="9">
        <v>0</v>
      </c>
    </row>
    <row r="499" spans="1:4" x14ac:dyDescent="0.45">
      <c r="A499" s="9">
        <v>0</v>
      </c>
      <c r="D499" s="9">
        <v>0</v>
      </c>
    </row>
    <row r="500" spans="1:4" x14ac:dyDescent="0.45">
      <c r="A500" s="9">
        <v>0</v>
      </c>
      <c r="D500" s="9">
        <v>0</v>
      </c>
    </row>
    <row r="501" spans="1:4" x14ac:dyDescent="0.45">
      <c r="A501" s="9">
        <v>0</v>
      </c>
      <c r="D501" s="9">
        <v>0</v>
      </c>
    </row>
    <row r="502" spans="1:4" x14ac:dyDescent="0.45">
      <c r="A502" s="9">
        <v>0</v>
      </c>
      <c r="D502" s="9">
        <v>0</v>
      </c>
    </row>
    <row r="503" spans="1:4" x14ac:dyDescent="0.45">
      <c r="A503" s="9">
        <v>0</v>
      </c>
      <c r="D503" s="9">
        <v>0</v>
      </c>
    </row>
    <row r="504" spans="1:4" x14ac:dyDescent="0.45">
      <c r="A504" s="9">
        <v>0</v>
      </c>
      <c r="D504" s="9">
        <v>0</v>
      </c>
    </row>
    <row r="505" spans="1:4" x14ac:dyDescent="0.45">
      <c r="A505" s="9">
        <v>0</v>
      </c>
      <c r="D505" s="9">
        <v>0</v>
      </c>
    </row>
    <row r="506" spans="1:4" x14ac:dyDescent="0.45">
      <c r="A506" s="9">
        <v>0</v>
      </c>
      <c r="D506" s="9">
        <v>0</v>
      </c>
    </row>
    <row r="507" spans="1:4" x14ac:dyDescent="0.45">
      <c r="A507" s="9">
        <v>0</v>
      </c>
      <c r="D507" s="9">
        <v>0</v>
      </c>
    </row>
    <row r="508" spans="1:4" x14ac:dyDescent="0.45">
      <c r="A508" s="9">
        <v>0</v>
      </c>
      <c r="D508" s="9">
        <v>0</v>
      </c>
    </row>
    <row r="509" spans="1:4" x14ac:dyDescent="0.45">
      <c r="A509" s="9">
        <v>0</v>
      </c>
      <c r="D509" s="9">
        <v>0</v>
      </c>
    </row>
    <row r="510" spans="1:4" x14ac:dyDescent="0.45">
      <c r="A510" s="9">
        <v>0</v>
      </c>
      <c r="D510" s="9">
        <v>0</v>
      </c>
    </row>
    <row r="511" spans="1:4" x14ac:dyDescent="0.45">
      <c r="A511" s="9">
        <v>0</v>
      </c>
      <c r="D511" s="9">
        <v>0</v>
      </c>
    </row>
    <row r="512" spans="1:4" x14ac:dyDescent="0.45">
      <c r="A512" s="9">
        <v>0</v>
      </c>
      <c r="D512" s="9">
        <v>0</v>
      </c>
    </row>
    <row r="513" spans="1:4" x14ac:dyDescent="0.45">
      <c r="A513" s="9">
        <v>0</v>
      </c>
      <c r="D513" s="9">
        <v>0</v>
      </c>
    </row>
    <row r="514" spans="1:4" x14ac:dyDescent="0.45">
      <c r="A514" s="9">
        <v>0</v>
      </c>
      <c r="D514" s="9">
        <v>0</v>
      </c>
    </row>
    <row r="515" spans="1:4" x14ac:dyDescent="0.45">
      <c r="A515" s="9">
        <v>0</v>
      </c>
      <c r="D515" s="9">
        <v>0</v>
      </c>
    </row>
    <row r="516" spans="1:4" x14ac:dyDescent="0.45">
      <c r="A516" s="9">
        <v>0</v>
      </c>
      <c r="D516" s="9">
        <v>0</v>
      </c>
    </row>
    <row r="517" spans="1:4" x14ac:dyDescent="0.45">
      <c r="A517" s="9">
        <v>0</v>
      </c>
      <c r="D517" s="9">
        <v>0</v>
      </c>
    </row>
    <row r="518" spans="1:4" x14ac:dyDescent="0.45">
      <c r="A518" s="9">
        <v>0</v>
      </c>
      <c r="D518" s="9">
        <v>0</v>
      </c>
    </row>
    <row r="519" spans="1:4" x14ac:dyDescent="0.45">
      <c r="A519" s="9">
        <v>0</v>
      </c>
      <c r="D519" s="9">
        <v>0</v>
      </c>
    </row>
    <row r="520" spans="1:4" x14ac:dyDescent="0.45">
      <c r="A520" s="9">
        <v>0</v>
      </c>
      <c r="D520" s="9">
        <v>0</v>
      </c>
    </row>
    <row r="521" spans="1:4" x14ac:dyDescent="0.45">
      <c r="A521" s="9">
        <v>0</v>
      </c>
      <c r="D521" s="9">
        <v>0</v>
      </c>
    </row>
    <row r="522" spans="1:4" x14ac:dyDescent="0.45">
      <c r="A522" s="9">
        <v>0</v>
      </c>
      <c r="D522" s="9">
        <v>0</v>
      </c>
    </row>
    <row r="523" spans="1:4" x14ac:dyDescent="0.45">
      <c r="A523" s="9">
        <v>0</v>
      </c>
      <c r="D523" s="9">
        <v>0</v>
      </c>
    </row>
    <row r="524" spans="1:4" x14ac:dyDescent="0.45">
      <c r="A524" s="9">
        <v>0</v>
      </c>
      <c r="D524" s="9">
        <v>0</v>
      </c>
    </row>
    <row r="525" spans="1:4" x14ac:dyDescent="0.45">
      <c r="A525" s="9">
        <v>0</v>
      </c>
      <c r="D525" s="9">
        <v>0</v>
      </c>
    </row>
    <row r="526" spans="1:4" x14ac:dyDescent="0.45">
      <c r="A526" s="9">
        <v>0</v>
      </c>
      <c r="D526" s="9">
        <v>0</v>
      </c>
    </row>
    <row r="527" spans="1:4" x14ac:dyDescent="0.45">
      <c r="A527" s="9">
        <v>0</v>
      </c>
      <c r="D527" s="9">
        <v>0</v>
      </c>
    </row>
    <row r="528" spans="1:4" x14ac:dyDescent="0.45">
      <c r="A528" s="9">
        <v>0</v>
      </c>
      <c r="D528" s="9">
        <v>0</v>
      </c>
    </row>
    <row r="529" spans="1:4" x14ac:dyDescent="0.45">
      <c r="A529" s="9">
        <v>0</v>
      </c>
      <c r="D529" s="9">
        <v>0</v>
      </c>
    </row>
    <row r="530" spans="1:4" x14ac:dyDescent="0.45">
      <c r="A530" s="9">
        <v>0</v>
      </c>
      <c r="D530" s="9">
        <v>0</v>
      </c>
    </row>
    <row r="531" spans="1:4" x14ac:dyDescent="0.45">
      <c r="A531" s="9">
        <v>0</v>
      </c>
      <c r="D531" s="9">
        <v>0</v>
      </c>
    </row>
    <row r="532" spans="1:4" x14ac:dyDescent="0.45">
      <c r="A532" s="9">
        <v>0</v>
      </c>
      <c r="D532" s="9">
        <v>0</v>
      </c>
    </row>
    <row r="533" spans="1:4" x14ac:dyDescent="0.45">
      <c r="A533" s="9">
        <v>0</v>
      </c>
      <c r="D533" s="9">
        <v>0</v>
      </c>
    </row>
    <row r="534" spans="1:4" x14ac:dyDescent="0.45">
      <c r="A534" s="9">
        <v>0</v>
      </c>
      <c r="D534" s="9">
        <v>0</v>
      </c>
    </row>
    <row r="535" spans="1:4" x14ac:dyDescent="0.45">
      <c r="A535" s="9">
        <v>0</v>
      </c>
      <c r="D535" s="9">
        <v>0</v>
      </c>
    </row>
    <row r="536" spans="1:4" x14ac:dyDescent="0.45">
      <c r="A536" s="9">
        <v>0</v>
      </c>
      <c r="D536" s="9">
        <v>0</v>
      </c>
    </row>
    <row r="537" spans="1:4" x14ac:dyDescent="0.45">
      <c r="A537" s="9">
        <v>0</v>
      </c>
      <c r="D537" s="9">
        <v>0</v>
      </c>
    </row>
    <row r="538" spans="1:4" x14ac:dyDescent="0.45">
      <c r="A538" s="9">
        <v>0</v>
      </c>
      <c r="D538" s="9">
        <v>0</v>
      </c>
    </row>
    <row r="539" spans="1:4" x14ac:dyDescent="0.45">
      <c r="A539" s="9">
        <v>0</v>
      </c>
      <c r="D539" s="9">
        <v>0</v>
      </c>
    </row>
    <row r="540" spans="1:4" x14ac:dyDescent="0.45">
      <c r="A540" s="9">
        <v>0</v>
      </c>
      <c r="D540" s="9">
        <v>0</v>
      </c>
    </row>
    <row r="541" spans="1:4" x14ac:dyDescent="0.45">
      <c r="A541" s="9">
        <v>0</v>
      </c>
      <c r="D541" s="9">
        <v>0</v>
      </c>
    </row>
    <row r="542" spans="1:4" x14ac:dyDescent="0.45">
      <c r="A542" s="9">
        <v>0</v>
      </c>
      <c r="D542" s="9">
        <v>0</v>
      </c>
    </row>
    <row r="543" spans="1:4" x14ac:dyDescent="0.45">
      <c r="A543" s="9">
        <v>0</v>
      </c>
      <c r="D543" s="9">
        <v>0</v>
      </c>
    </row>
    <row r="544" spans="1:4" x14ac:dyDescent="0.45">
      <c r="A544" s="9">
        <v>0</v>
      </c>
      <c r="D544" s="9">
        <v>0</v>
      </c>
    </row>
    <row r="545" spans="1:4" x14ac:dyDescent="0.45">
      <c r="A545" s="9">
        <v>0</v>
      </c>
      <c r="D545" s="9">
        <v>0</v>
      </c>
    </row>
    <row r="546" spans="1:4" x14ac:dyDescent="0.45">
      <c r="A546" s="9">
        <v>0</v>
      </c>
      <c r="D546" s="9">
        <v>0</v>
      </c>
    </row>
    <row r="547" spans="1:4" x14ac:dyDescent="0.45">
      <c r="A547" s="9">
        <v>0</v>
      </c>
      <c r="D547" s="9">
        <v>0</v>
      </c>
    </row>
    <row r="548" spans="1:4" x14ac:dyDescent="0.45">
      <c r="A548" s="9">
        <v>0</v>
      </c>
      <c r="D548" s="9">
        <v>0</v>
      </c>
    </row>
    <row r="549" spans="1:4" x14ac:dyDescent="0.45">
      <c r="A549" s="9">
        <v>0</v>
      </c>
      <c r="D549" s="9">
        <v>0</v>
      </c>
    </row>
    <row r="550" spans="1:4" x14ac:dyDescent="0.45">
      <c r="A550" s="9">
        <v>0</v>
      </c>
      <c r="D550" s="9">
        <v>0</v>
      </c>
    </row>
    <row r="551" spans="1:4" x14ac:dyDescent="0.45">
      <c r="A551" s="9">
        <v>0</v>
      </c>
      <c r="D551" s="9">
        <v>0</v>
      </c>
    </row>
    <row r="552" spans="1:4" x14ac:dyDescent="0.45">
      <c r="A552" s="9">
        <v>0</v>
      </c>
      <c r="D552" s="9">
        <v>0</v>
      </c>
    </row>
    <row r="553" spans="1:4" x14ac:dyDescent="0.45">
      <c r="A553" s="9">
        <v>0</v>
      </c>
      <c r="D553" s="9">
        <v>0</v>
      </c>
    </row>
    <row r="554" spans="1:4" x14ac:dyDescent="0.45">
      <c r="A554" s="9">
        <v>0</v>
      </c>
      <c r="D554" s="9">
        <v>0</v>
      </c>
    </row>
    <row r="555" spans="1:4" x14ac:dyDescent="0.45">
      <c r="A555" s="9">
        <v>0</v>
      </c>
      <c r="D555" s="9">
        <v>0</v>
      </c>
    </row>
    <row r="556" spans="1:4" x14ac:dyDescent="0.45">
      <c r="A556" s="9">
        <v>0</v>
      </c>
      <c r="D556" s="9">
        <v>0</v>
      </c>
    </row>
    <row r="557" spans="1:4" x14ac:dyDescent="0.45">
      <c r="A557" s="9">
        <v>0</v>
      </c>
      <c r="D557" s="9">
        <v>0</v>
      </c>
    </row>
    <row r="558" spans="1:4" x14ac:dyDescent="0.45">
      <c r="A558" s="9">
        <v>0</v>
      </c>
      <c r="D558" s="9">
        <v>0</v>
      </c>
    </row>
    <row r="559" spans="1:4" x14ac:dyDescent="0.45">
      <c r="A559" s="9">
        <v>0</v>
      </c>
      <c r="D559" s="9">
        <v>0</v>
      </c>
    </row>
    <row r="560" spans="1:4" x14ac:dyDescent="0.45">
      <c r="A560" s="9">
        <v>0</v>
      </c>
      <c r="D560" s="9">
        <v>0</v>
      </c>
    </row>
    <row r="561" spans="1:4" x14ac:dyDescent="0.45">
      <c r="A561" s="9">
        <v>0</v>
      </c>
      <c r="D561" s="9">
        <v>0</v>
      </c>
    </row>
    <row r="562" spans="1:4" x14ac:dyDescent="0.45">
      <c r="A562" s="9">
        <v>0</v>
      </c>
      <c r="D562" s="9">
        <v>0</v>
      </c>
    </row>
    <row r="563" spans="1:4" x14ac:dyDescent="0.45">
      <c r="A563" s="9">
        <v>0</v>
      </c>
      <c r="D563" s="9">
        <v>0</v>
      </c>
    </row>
    <row r="564" spans="1:4" x14ac:dyDescent="0.45">
      <c r="A564" s="9">
        <v>0</v>
      </c>
      <c r="D564" s="9">
        <v>0</v>
      </c>
    </row>
    <row r="565" spans="1:4" x14ac:dyDescent="0.45">
      <c r="A565" s="9">
        <v>0</v>
      </c>
      <c r="D565" s="9">
        <v>0</v>
      </c>
    </row>
    <row r="566" spans="1:4" x14ac:dyDescent="0.45">
      <c r="A566" s="9">
        <v>0</v>
      </c>
      <c r="D566" s="9">
        <v>0</v>
      </c>
    </row>
    <row r="567" spans="1:4" x14ac:dyDescent="0.45">
      <c r="A567" s="9">
        <v>0</v>
      </c>
      <c r="D567" s="9">
        <v>0</v>
      </c>
    </row>
    <row r="568" spans="1:4" x14ac:dyDescent="0.45">
      <c r="A568" s="9">
        <v>0</v>
      </c>
      <c r="D568" s="9">
        <v>0</v>
      </c>
    </row>
    <row r="569" spans="1:4" x14ac:dyDescent="0.45">
      <c r="A569" s="9">
        <v>0</v>
      </c>
      <c r="D569" s="9">
        <v>0</v>
      </c>
    </row>
    <row r="570" spans="1:4" x14ac:dyDescent="0.45">
      <c r="A570" s="9">
        <v>0</v>
      </c>
      <c r="D570" s="9">
        <v>0</v>
      </c>
    </row>
    <row r="571" spans="1:4" x14ac:dyDescent="0.45">
      <c r="A571" s="9">
        <v>0</v>
      </c>
      <c r="D571" s="9">
        <v>0</v>
      </c>
    </row>
    <row r="572" spans="1:4" x14ac:dyDescent="0.45">
      <c r="A572" s="9">
        <v>0</v>
      </c>
      <c r="D572" s="9">
        <v>0</v>
      </c>
    </row>
    <row r="573" spans="1:4" x14ac:dyDescent="0.45">
      <c r="A573" s="9">
        <v>0</v>
      </c>
      <c r="D573" s="9">
        <v>0</v>
      </c>
    </row>
    <row r="574" spans="1:4" x14ac:dyDescent="0.45">
      <c r="A574" s="9">
        <v>0</v>
      </c>
      <c r="D574" s="9">
        <v>0</v>
      </c>
    </row>
    <row r="575" spans="1:4" x14ac:dyDescent="0.45">
      <c r="A575" s="9">
        <v>0</v>
      </c>
      <c r="D575" s="9">
        <v>0</v>
      </c>
    </row>
    <row r="576" spans="1:4" x14ac:dyDescent="0.45">
      <c r="A576" s="9">
        <v>0</v>
      </c>
      <c r="D576" s="9">
        <v>0</v>
      </c>
    </row>
    <row r="577" spans="1:4" x14ac:dyDescent="0.45">
      <c r="A577" s="9">
        <v>0</v>
      </c>
      <c r="D577" s="9">
        <v>0</v>
      </c>
    </row>
    <row r="578" spans="1:4" x14ac:dyDescent="0.45">
      <c r="A578" s="9">
        <v>0</v>
      </c>
      <c r="D578" s="9">
        <v>0</v>
      </c>
    </row>
    <row r="579" spans="1:4" x14ac:dyDescent="0.45">
      <c r="A579" s="9">
        <v>0</v>
      </c>
      <c r="D579" s="9">
        <v>0</v>
      </c>
    </row>
    <row r="580" spans="1:4" x14ac:dyDescent="0.45">
      <c r="A580" s="9">
        <v>0</v>
      </c>
      <c r="D580" s="9">
        <v>0</v>
      </c>
    </row>
    <row r="581" spans="1:4" x14ac:dyDescent="0.45">
      <c r="A581" s="9">
        <v>0</v>
      </c>
      <c r="D581" s="9">
        <v>0</v>
      </c>
    </row>
    <row r="582" spans="1:4" x14ac:dyDescent="0.45">
      <c r="A582" s="9">
        <v>0</v>
      </c>
      <c r="D582" s="9">
        <v>0</v>
      </c>
    </row>
    <row r="583" spans="1:4" x14ac:dyDescent="0.45">
      <c r="A583" s="9">
        <v>0</v>
      </c>
      <c r="D583" s="9">
        <v>0</v>
      </c>
    </row>
    <row r="584" spans="1:4" x14ac:dyDescent="0.45">
      <c r="A584" s="9">
        <v>0</v>
      </c>
      <c r="D584" s="9">
        <v>0</v>
      </c>
    </row>
    <row r="585" spans="1:4" x14ac:dyDescent="0.45">
      <c r="A585" s="9">
        <v>0</v>
      </c>
      <c r="D585" s="9">
        <v>0</v>
      </c>
    </row>
    <row r="586" spans="1:4" x14ac:dyDescent="0.45">
      <c r="A586" s="9">
        <v>0</v>
      </c>
      <c r="D586" s="9">
        <v>0</v>
      </c>
    </row>
    <row r="587" spans="1:4" x14ac:dyDescent="0.45">
      <c r="A587" s="9">
        <v>0</v>
      </c>
      <c r="D587" s="9">
        <v>0</v>
      </c>
    </row>
    <row r="588" spans="1:4" x14ac:dyDescent="0.45">
      <c r="A588" s="9">
        <v>0</v>
      </c>
      <c r="D588" s="9">
        <v>0</v>
      </c>
    </row>
    <row r="589" spans="1:4" x14ac:dyDescent="0.45">
      <c r="A589" s="9">
        <v>0</v>
      </c>
      <c r="D589" s="9">
        <v>0</v>
      </c>
    </row>
    <row r="590" spans="1:4" x14ac:dyDescent="0.45">
      <c r="A590" s="9">
        <v>0</v>
      </c>
      <c r="D590" s="9">
        <v>0</v>
      </c>
    </row>
    <row r="591" spans="1:4" x14ac:dyDescent="0.45">
      <c r="A591" s="9">
        <v>0</v>
      </c>
      <c r="D591" s="9">
        <v>0</v>
      </c>
    </row>
    <row r="592" spans="1:4" x14ac:dyDescent="0.45">
      <c r="A592" s="9">
        <v>0</v>
      </c>
      <c r="D592" s="9">
        <v>0</v>
      </c>
    </row>
    <row r="593" spans="1:4" x14ac:dyDescent="0.45">
      <c r="A593" s="9">
        <v>0</v>
      </c>
      <c r="D593" s="9">
        <v>0</v>
      </c>
    </row>
    <row r="594" spans="1:4" x14ac:dyDescent="0.45">
      <c r="A594" s="9">
        <v>0</v>
      </c>
      <c r="D594" s="9">
        <v>0</v>
      </c>
    </row>
    <row r="595" spans="1:4" x14ac:dyDescent="0.45">
      <c r="A595" s="9">
        <v>0</v>
      </c>
      <c r="D595" s="9">
        <v>0</v>
      </c>
    </row>
    <row r="596" spans="1:4" x14ac:dyDescent="0.45">
      <c r="A596" s="9">
        <v>0</v>
      </c>
      <c r="D596" s="9">
        <v>0</v>
      </c>
    </row>
    <row r="597" spans="1:4" x14ac:dyDescent="0.45">
      <c r="A597" s="9">
        <v>0</v>
      </c>
      <c r="D597" s="9">
        <v>0</v>
      </c>
    </row>
    <row r="598" spans="1:4" x14ac:dyDescent="0.45">
      <c r="A598" s="9">
        <v>0</v>
      </c>
      <c r="D598" s="9">
        <v>0</v>
      </c>
    </row>
    <row r="599" spans="1:4" x14ac:dyDescent="0.45">
      <c r="A599" s="9">
        <v>0</v>
      </c>
      <c r="D599" s="9">
        <v>0</v>
      </c>
    </row>
    <row r="600" spans="1:4" x14ac:dyDescent="0.45">
      <c r="A600" s="9">
        <v>0</v>
      </c>
      <c r="D600" s="9">
        <v>0</v>
      </c>
    </row>
    <row r="601" spans="1:4" x14ac:dyDescent="0.45">
      <c r="A601" s="9">
        <v>0</v>
      </c>
      <c r="D601" s="9">
        <v>0</v>
      </c>
    </row>
    <row r="602" spans="1:4" x14ac:dyDescent="0.45">
      <c r="A602" s="9">
        <v>0</v>
      </c>
      <c r="D602" s="9">
        <v>0</v>
      </c>
    </row>
    <row r="603" spans="1:4" x14ac:dyDescent="0.45">
      <c r="A603" s="9">
        <v>0</v>
      </c>
      <c r="D603" s="9">
        <v>0</v>
      </c>
    </row>
    <row r="604" spans="1:4" x14ac:dyDescent="0.45">
      <c r="A604" s="9">
        <v>0</v>
      </c>
      <c r="D604" s="9">
        <v>0</v>
      </c>
    </row>
    <row r="605" spans="1:4" x14ac:dyDescent="0.45">
      <c r="A605" s="9">
        <v>0</v>
      </c>
      <c r="D605" s="9">
        <v>0</v>
      </c>
    </row>
    <row r="606" spans="1:4" x14ac:dyDescent="0.45">
      <c r="A606" s="9">
        <v>0</v>
      </c>
      <c r="D606" s="9">
        <v>0</v>
      </c>
    </row>
    <row r="607" spans="1:4" x14ac:dyDescent="0.45">
      <c r="A607" s="9">
        <v>0</v>
      </c>
      <c r="D607" s="9">
        <v>0</v>
      </c>
    </row>
    <row r="608" spans="1:4" x14ac:dyDescent="0.45">
      <c r="A608" s="9">
        <v>0</v>
      </c>
      <c r="D608" s="9">
        <v>0</v>
      </c>
    </row>
    <row r="609" spans="1:4" x14ac:dyDescent="0.45">
      <c r="A609" s="9">
        <v>0</v>
      </c>
      <c r="D609" s="9">
        <v>0</v>
      </c>
    </row>
    <row r="610" spans="1:4" x14ac:dyDescent="0.45">
      <c r="A610" s="9">
        <v>0</v>
      </c>
      <c r="D610" s="9">
        <v>0</v>
      </c>
    </row>
    <row r="611" spans="1:4" x14ac:dyDescent="0.45">
      <c r="A611" s="9">
        <v>0</v>
      </c>
      <c r="D611" s="9">
        <v>0</v>
      </c>
    </row>
    <row r="612" spans="1:4" x14ac:dyDescent="0.45">
      <c r="A612" s="9">
        <v>0</v>
      </c>
      <c r="D612" s="9">
        <v>0</v>
      </c>
    </row>
    <row r="613" spans="1:4" x14ac:dyDescent="0.45">
      <c r="A613" s="9">
        <v>0</v>
      </c>
      <c r="D613" s="9">
        <v>0</v>
      </c>
    </row>
    <row r="614" spans="1:4" x14ac:dyDescent="0.45">
      <c r="A614" s="9">
        <v>0</v>
      </c>
      <c r="D614" s="9">
        <v>0</v>
      </c>
    </row>
    <row r="615" spans="1:4" x14ac:dyDescent="0.45">
      <c r="A615" s="9">
        <v>0</v>
      </c>
      <c r="D615" s="9">
        <v>0</v>
      </c>
    </row>
    <row r="616" spans="1:4" x14ac:dyDescent="0.45">
      <c r="A616" s="9">
        <v>0</v>
      </c>
      <c r="D616" s="9">
        <v>0</v>
      </c>
    </row>
    <row r="617" spans="1:4" x14ac:dyDescent="0.45">
      <c r="A617" s="9">
        <v>0</v>
      </c>
      <c r="D617" s="9">
        <v>0</v>
      </c>
    </row>
    <row r="618" spans="1:4" x14ac:dyDescent="0.45">
      <c r="A618" s="9">
        <v>0</v>
      </c>
      <c r="D618" s="9">
        <v>0</v>
      </c>
    </row>
    <row r="619" spans="1:4" x14ac:dyDescent="0.45">
      <c r="A619" s="9">
        <v>0</v>
      </c>
      <c r="D619" s="9">
        <v>0</v>
      </c>
    </row>
    <row r="620" spans="1:4" x14ac:dyDescent="0.45">
      <c r="A620" s="9">
        <v>0</v>
      </c>
      <c r="D620" s="9">
        <v>0</v>
      </c>
    </row>
    <row r="621" spans="1:4" x14ac:dyDescent="0.45">
      <c r="A621" s="9">
        <v>0</v>
      </c>
      <c r="D621" s="9">
        <v>0</v>
      </c>
    </row>
    <row r="622" spans="1:4" x14ac:dyDescent="0.45">
      <c r="A622" s="9">
        <v>0</v>
      </c>
      <c r="D622" s="9">
        <v>0</v>
      </c>
    </row>
    <row r="623" spans="1:4" x14ac:dyDescent="0.45">
      <c r="A623" s="9">
        <v>0</v>
      </c>
      <c r="D623" s="9">
        <v>0</v>
      </c>
    </row>
    <row r="624" spans="1:4" x14ac:dyDescent="0.45">
      <c r="A624" s="9">
        <v>0</v>
      </c>
      <c r="D624" s="9">
        <v>0</v>
      </c>
    </row>
    <row r="625" spans="1:4" x14ac:dyDescent="0.45">
      <c r="A625" s="9">
        <v>0</v>
      </c>
      <c r="D625" s="9">
        <v>0</v>
      </c>
    </row>
    <row r="626" spans="1:4" x14ac:dyDescent="0.45">
      <c r="A626" s="9">
        <v>0</v>
      </c>
      <c r="D626" s="9">
        <v>0</v>
      </c>
    </row>
    <row r="627" spans="1:4" x14ac:dyDescent="0.45">
      <c r="A627" s="9">
        <v>0</v>
      </c>
      <c r="D627" s="9">
        <v>0</v>
      </c>
    </row>
    <row r="628" spans="1:4" x14ac:dyDescent="0.45">
      <c r="A628" s="9">
        <v>0</v>
      </c>
      <c r="D628" s="9">
        <v>0</v>
      </c>
    </row>
    <row r="629" spans="1:4" x14ac:dyDescent="0.45">
      <c r="A629" s="9">
        <v>0</v>
      </c>
      <c r="D629" s="9">
        <v>0</v>
      </c>
    </row>
    <row r="630" spans="1:4" x14ac:dyDescent="0.45">
      <c r="A630" s="9">
        <v>0</v>
      </c>
      <c r="D630" s="9">
        <v>0</v>
      </c>
    </row>
    <row r="631" spans="1:4" x14ac:dyDescent="0.45">
      <c r="A631" s="9">
        <v>0</v>
      </c>
      <c r="D631" s="9">
        <v>0</v>
      </c>
    </row>
    <row r="632" spans="1:4" x14ac:dyDescent="0.45">
      <c r="A632" s="9">
        <v>0</v>
      </c>
      <c r="D632" s="9">
        <v>0</v>
      </c>
    </row>
    <row r="633" spans="1:4" x14ac:dyDescent="0.45">
      <c r="A633" s="9">
        <v>0</v>
      </c>
      <c r="D633" s="9">
        <v>0</v>
      </c>
    </row>
    <row r="634" spans="1:4" x14ac:dyDescent="0.45">
      <c r="A634" s="9">
        <v>0</v>
      </c>
      <c r="D634" s="9">
        <v>0</v>
      </c>
    </row>
    <row r="635" spans="1:4" x14ac:dyDescent="0.45">
      <c r="A635" s="9">
        <v>0</v>
      </c>
      <c r="D635" s="9">
        <v>0</v>
      </c>
    </row>
    <row r="636" spans="1:4" x14ac:dyDescent="0.45">
      <c r="A636" s="9">
        <v>0</v>
      </c>
      <c r="D636" s="9">
        <v>0</v>
      </c>
    </row>
    <row r="637" spans="1:4" x14ac:dyDescent="0.45">
      <c r="A637" s="9">
        <v>0</v>
      </c>
      <c r="D637" s="9">
        <v>0</v>
      </c>
    </row>
    <row r="638" spans="1:4" x14ac:dyDescent="0.45">
      <c r="A638" s="9">
        <v>0</v>
      </c>
      <c r="D638" s="9">
        <v>0</v>
      </c>
    </row>
    <row r="639" spans="1:4" x14ac:dyDescent="0.45">
      <c r="A639" s="9">
        <v>0</v>
      </c>
      <c r="D639" s="9">
        <v>0</v>
      </c>
    </row>
    <row r="640" spans="1:4" x14ac:dyDescent="0.45">
      <c r="A640" s="9">
        <v>0</v>
      </c>
      <c r="D640" s="9">
        <v>0</v>
      </c>
    </row>
    <row r="641" spans="1:4" x14ac:dyDescent="0.45">
      <c r="A641" s="9">
        <v>0</v>
      </c>
      <c r="D641" s="9">
        <v>0</v>
      </c>
    </row>
    <row r="642" spans="1:4" x14ac:dyDescent="0.45">
      <c r="A642" s="9">
        <v>0</v>
      </c>
      <c r="D642" s="9">
        <v>0</v>
      </c>
    </row>
    <row r="643" spans="1:4" x14ac:dyDescent="0.45">
      <c r="A643" s="9">
        <v>0</v>
      </c>
      <c r="D643" s="9">
        <v>0</v>
      </c>
    </row>
    <row r="644" spans="1:4" x14ac:dyDescent="0.45">
      <c r="A644" s="9">
        <v>0</v>
      </c>
      <c r="D644" s="9">
        <v>0</v>
      </c>
    </row>
    <row r="645" spans="1:4" x14ac:dyDescent="0.45">
      <c r="A645" s="9">
        <v>0</v>
      </c>
      <c r="D645" s="9">
        <v>0</v>
      </c>
    </row>
    <row r="646" spans="1:4" x14ac:dyDescent="0.45">
      <c r="A646" s="9">
        <v>0</v>
      </c>
      <c r="D646" s="9">
        <v>0</v>
      </c>
    </row>
    <row r="647" spans="1:4" x14ac:dyDescent="0.45">
      <c r="A647" s="9">
        <v>0</v>
      </c>
      <c r="D647" s="9">
        <v>0</v>
      </c>
    </row>
    <row r="648" spans="1:4" x14ac:dyDescent="0.45">
      <c r="A648" s="9">
        <v>0</v>
      </c>
      <c r="D648" s="9">
        <v>0</v>
      </c>
    </row>
    <row r="649" spans="1:4" x14ac:dyDescent="0.45">
      <c r="A649" s="9">
        <v>0</v>
      </c>
      <c r="D649" s="9">
        <v>0</v>
      </c>
    </row>
    <row r="650" spans="1:4" x14ac:dyDescent="0.45">
      <c r="A650" s="9">
        <v>0</v>
      </c>
      <c r="D650" s="9">
        <v>0</v>
      </c>
    </row>
    <row r="651" spans="1:4" x14ac:dyDescent="0.45">
      <c r="A651" s="9">
        <v>0</v>
      </c>
      <c r="D651" s="9">
        <v>0</v>
      </c>
    </row>
    <row r="652" spans="1:4" x14ac:dyDescent="0.45">
      <c r="A652" s="9">
        <v>0</v>
      </c>
      <c r="D652" s="9">
        <v>0</v>
      </c>
    </row>
    <row r="653" spans="1:4" x14ac:dyDescent="0.45">
      <c r="A653" s="9">
        <v>0</v>
      </c>
      <c r="D653" s="9">
        <v>0</v>
      </c>
    </row>
    <row r="654" spans="1:4" x14ac:dyDescent="0.45">
      <c r="A654" s="9">
        <v>0</v>
      </c>
      <c r="D654" s="9">
        <v>0</v>
      </c>
    </row>
    <row r="655" spans="1:4" x14ac:dyDescent="0.45">
      <c r="A655" s="9">
        <v>0</v>
      </c>
      <c r="D655" s="9">
        <v>0</v>
      </c>
    </row>
    <row r="656" spans="1:4" x14ac:dyDescent="0.45">
      <c r="A656" s="9">
        <v>0</v>
      </c>
      <c r="D656" s="9">
        <v>0</v>
      </c>
    </row>
    <row r="657" spans="1:4" x14ac:dyDescent="0.45">
      <c r="A657" s="9">
        <v>0</v>
      </c>
      <c r="D657" s="9">
        <v>0</v>
      </c>
    </row>
    <row r="658" spans="1:4" x14ac:dyDescent="0.45">
      <c r="A658" s="9">
        <v>0</v>
      </c>
      <c r="D658" s="9">
        <v>0</v>
      </c>
    </row>
    <row r="659" spans="1:4" x14ac:dyDescent="0.45">
      <c r="A659" s="9">
        <v>0</v>
      </c>
      <c r="D659" s="9">
        <v>0</v>
      </c>
    </row>
    <row r="660" spans="1:4" x14ac:dyDescent="0.45">
      <c r="A660" s="9">
        <v>0</v>
      </c>
      <c r="D660" s="9">
        <v>0</v>
      </c>
    </row>
    <row r="661" spans="1:4" x14ac:dyDescent="0.45">
      <c r="A661" s="9">
        <v>0</v>
      </c>
      <c r="D661" s="9">
        <v>0</v>
      </c>
    </row>
    <row r="662" spans="1:4" x14ac:dyDescent="0.45">
      <c r="A662" s="9">
        <v>0</v>
      </c>
      <c r="D662" s="9">
        <v>0</v>
      </c>
    </row>
    <row r="663" spans="1:4" x14ac:dyDescent="0.45">
      <c r="A663" s="9">
        <v>0</v>
      </c>
      <c r="D663" s="9">
        <v>0</v>
      </c>
    </row>
    <row r="664" spans="1:4" x14ac:dyDescent="0.45">
      <c r="A664" s="9">
        <v>0</v>
      </c>
      <c r="D664" s="9">
        <v>0</v>
      </c>
    </row>
    <row r="665" spans="1:4" x14ac:dyDescent="0.45">
      <c r="A665" s="9">
        <v>0</v>
      </c>
      <c r="D665" s="9">
        <v>0</v>
      </c>
    </row>
    <row r="666" spans="1:4" x14ac:dyDescent="0.45">
      <c r="A666" s="9">
        <v>0</v>
      </c>
      <c r="D666" s="9">
        <v>0</v>
      </c>
    </row>
    <row r="667" spans="1:4" x14ac:dyDescent="0.45">
      <c r="A667" s="9">
        <v>0</v>
      </c>
      <c r="D667" s="9">
        <v>0</v>
      </c>
    </row>
    <row r="668" spans="1:4" x14ac:dyDescent="0.45">
      <c r="A668" s="9">
        <v>0</v>
      </c>
      <c r="D668" s="9">
        <v>0</v>
      </c>
    </row>
    <row r="669" spans="1:4" x14ac:dyDescent="0.45">
      <c r="A669" s="9">
        <v>0</v>
      </c>
      <c r="D669" s="9">
        <v>0</v>
      </c>
    </row>
    <row r="670" spans="1:4" x14ac:dyDescent="0.45">
      <c r="A670" s="9">
        <v>0</v>
      </c>
      <c r="D670" s="9">
        <v>0</v>
      </c>
    </row>
    <row r="671" spans="1:4" x14ac:dyDescent="0.45">
      <c r="A671" s="9">
        <v>0</v>
      </c>
      <c r="D671" s="9">
        <v>0</v>
      </c>
    </row>
    <row r="672" spans="1:4" x14ac:dyDescent="0.45">
      <c r="A672" s="9">
        <v>0</v>
      </c>
      <c r="D672" s="9">
        <v>0</v>
      </c>
    </row>
    <row r="673" spans="1:4" x14ac:dyDescent="0.45">
      <c r="A673" s="9">
        <v>0</v>
      </c>
      <c r="D673" s="9">
        <v>0</v>
      </c>
    </row>
    <row r="674" spans="1:4" x14ac:dyDescent="0.45">
      <c r="A674" s="9">
        <v>0</v>
      </c>
      <c r="D674" s="9">
        <v>0</v>
      </c>
    </row>
    <row r="675" spans="1:4" x14ac:dyDescent="0.45">
      <c r="A675" s="9">
        <v>0</v>
      </c>
      <c r="D675" s="9">
        <v>0</v>
      </c>
    </row>
    <row r="676" spans="1:4" x14ac:dyDescent="0.45">
      <c r="A676" s="9">
        <v>0</v>
      </c>
      <c r="D676" s="9">
        <v>0</v>
      </c>
    </row>
    <row r="677" spans="1:4" x14ac:dyDescent="0.45">
      <c r="A677" s="9">
        <v>0</v>
      </c>
      <c r="D677" s="9">
        <v>0</v>
      </c>
    </row>
    <row r="678" spans="1:4" x14ac:dyDescent="0.45">
      <c r="A678" s="9">
        <v>0</v>
      </c>
      <c r="D678" s="9">
        <v>0</v>
      </c>
    </row>
    <row r="679" spans="1:4" x14ac:dyDescent="0.45">
      <c r="A679" s="9">
        <v>0</v>
      </c>
      <c r="D679" s="9">
        <v>0</v>
      </c>
    </row>
    <row r="680" spans="1:4" x14ac:dyDescent="0.45">
      <c r="A680" s="9">
        <v>0</v>
      </c>
      <c r="D680" s="9">
        <v>0</v>
      </c>
    </row>
    <row r="681" spans="1:4" x14ac:dyDescent="0.45">
      <c r="A681" s="9">
        <v>0</v>
      </c>
      <c r="D681" s="9">
        <v>0</v>
      </c>
    </row>
    <row r="682" spans="1:4" x14ac:dyDescent="0.45">
      <c r="A682" s="9">
        <v>0</v>
      </c>
      <c r="D682" s="9">
        <v>0</v>
      </c>
    </row>
    <row r="683" spans="1:4" x14ac:dyDescent="0.45">
      <c r="A683" s="9">
        <v>0</v>
      </c>
      <c r="D683" s="9">
        <v>0</v>
      </c>
    </row>
    <row r="684" spans="1:4" x14ac:dyDescent="0.45">
      <c r="A684" s="9">
        <v>0</v>
      </c>
      <c r="D684" s="9">
        <v>0</v>
      </c>
    </row>
    <row r="685" spans="1:4" x14ac:dyDescent="0.45">
      <c r="A685" s="9">
        <v>0</v>
      </c>
      <c r="D685" s="9">
        <v>0</v>
      </c>
    </row>
    <row r="686" spans="1:4" x14ac:dyDescent="0.45">
      <c r="A686" s="9">
        <v>0</v>
      </c>
      <c r="D686" s="9">
        <v>0</v>
      </c>
    </row>
    <row r="687" spans="1:4" x14ac:dyDescent="0.45">
      <c r="A687" s="9">
        <v>0</v>
      </c>
      <c r="D687" s="9">
        <v>0</v>
      </c>
    </row>
    <row r="688" spans="1:4" x14ac:dyDescent="0.45">
      <c r="A688" s="9">
        <v>0</v>
      </c>
      <c r="D688" s="9">
        <v>0</v>
      </c>
    </row>
    <row r="689" spans="1:4" x14ac:dyDescent="0.45">
      <c r="A689" s="9">
        <v>0</v>
      </c>
      <c r="D689" s="9">
        <v>0</v>
      </c>
    </row>
    <row r="690" spans="1:4" x14ac:dyDescent="0.45">
      <c r="A690" s="9">
        <v>0</v>
      </c>
      <c r="D690" s="9">
        <v>0</v>
      </c>
    </row>
    <row r="691" spans="1:4" x14ac:dyDescent="0.45">
      <c r="A691" s="9">
        <v>0</v>
      </c>
      <c r="D691" s="9">
        <v>0</v>
      </c>
    </row>
    <row r="692" spans="1:4" x14ac:dyDescent="0.45">
      <c r="A692" s="9">
        <v>0</v>
      </c>
      <c r="D692" s="9">
        <v>0</v>
      </c>
    </row>
    <row r="693" spans="1:4" x14ac:dyDescent="0.45">
      <c r="A693" s="9">
        <v>0</v>
      </c>
      <c r="D693" s="9">
        <v>0</v>
      </c>
    </row>
    <row r="694" spans="1:4" x14ac:dyDescent="0.45">
      <c r="A694" s="9">
        <v>0</v>
      </c>
      <c r="D694" s="9">
        <v>0</v>
      </c>
    </row>
    <row r="695" spans="1:4" x14ac:dyDescent="0.45">
      <c r="A695" s="9">
        <v>0</v>
      </c>
      <c r="D695" s="9">
        <v>0</v>
      </c>
    </row>
    <row r="696" spans="1:4" x14ac:dyDescent="0.45">
      <c r="A696" s="9">
        <v>0</v>
      </c>
      <c r="D696" s="9">
        <v>0</v>
      </c>
    </row>
    <row r="697" spans="1:4" x14ac:dyDescent="0.45">
      <c r="A697" s="9">
        <v>0</v>
      </c>
      <c r="D697" s="9">
        <v>0</v>
      </c>
    </row>
    <row r="698" spans="1:4" x14ac:dyDescent="0.45">
      <c r="A698" s="9">
        <v>0</v>
      </c>
      <c r="D698" s="9">
        <v>0</v>
      </c>
    </row>
    <row r="699" spans="1:4" x14ac:dyDescent="0.45">
      <c r="A699" s="9">
        <v>0</v>
      </c>
      <c r="D699" s="9">
        <v>0</v>
      </c>
    </row>
    <row r="700" spans="1:4" x14ac:dyDescent="0.45">
      <c r="A700" s="9">
        <v>0</v>
      </c>
      <c r="D700" s="9">
        <v>0</v>
      </c>
    </row>
    <row r="701" spans="1:4" x14ac:dyDescent="0.45">
      <c r="A701" s="9">
        <v>0</v>
      </c>
      <c r="D701" s="9">
        <v>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EDDF1-EFA7-7E42-B811-2A3A5009454C}">
  <dimension ref="B1:AC60"/>
  <sheetViews>
    <sheetView zoomScale="70" zoomScaleNormal="70" zoomScaleSheetLayoutView="100" workbookViewId="0">
      <selection activeCell="N4" sqref="N4"/>
    </sheetView>
  </sheetViews>
  <sheetFormatPr defaultRowHeight="16.5" customHeight="1" x14ac:dyDescent="0.45"/>
  <cols>
    <col min="13" max="13" width="10.58203125" customWidth="1"/>
    <col min="14" max="14" width="13.83203125" bestFit="1" customWidth="1"/>
    <col min="15" max="15" width="12.5" bestFit="1" customWidth="1"/>
    <col min="16" max="16" width="10.58203125" bestFit="1" customWidth="1"/>
    <col min="17" max="17" width="8.58203125" style="197"/>
  </cols>
  <sheetData>
    <row r="1" spans="2:29" ht="16.5" customHeight="1" thickBot="1" x14ac:dyDescent="0.5">
      <c r="M1" s="207" t="s">
        <v>159</v>
      </c>
      <c r="N1" s="208" t="s">
        <v>160</v>
      </c>
      <c r="O1" s="209" t="s">
        <v>161</v>
      </c>
      <c r="P1" s="208" t="s">
        <v>162</v>
      </c>
      <c r="Q1" s="210" t="s">
        <v>163</v>
      </c>
    </row>
    <row r="2" spans="2:29" ht="16.5" customHeight="1" x14ac:dyDescent="0.45">
      <c r="B2" t="s">
        <v>500</v>
      </c>
      <c r="M2" s="200" t="s">
        <v>96</v>
      </c>
      <c r="N2" s="185">
        <v>120</v>
      </c>
      <c r="O2" s="186" t="s">
        <v>164</v>
      </c>
      <c r="P2" s="9">
        <v>75</v>
      </c>
      <c r="Q2" s="201"/>
    </row>
    <row r="3" spans="2:29" ht="16.5" customHeight="1" x14ac:dyDescent="0.45">
      <c r="B3" t="s">
        <v>165</v>
      </c>
      <c r="C3" t="s">
        <v>166</v>
      </c>
      <c r="D3" t="s">
        <v>167</v>
      </c>
      <c r="E3" t="s">
        <v>168</v>
      </c>
      <c r="G3" t="s">
        <v>169</v>
      </c>
      <c r="H3" t="s">
        <v>166</v>
      </c>
      <c r="I3" t="s">
        <v>167</v>
      </c>
      <c r="J3" t="s">
        <v>168</v>
      </c>
      <c r="M3" s="200" t="s">
        <v>90</v>
      </c>
      <c r="N3" s="187">
        <v>15.15</v>
      </c>
      <c r="O3" s="186">
        <v>15.15</v>
      </c>
      <c r="P3" s="9">
        <v>250</v>
      </c>
      <c r="Q3" s="201"/>
    </row>
    <row r="4" spans="2:29" ht="16.5" customHeight="1" x14ac:dyDescent="0.45">
      <c r="B4" t="s">
        <v>42</v>
      </c>
      <c r="C4">
        <f t="shared" ref="C4:E5" si="0">H4+((H4*0.02+20)*3+H15+$E15)*(1+0.02*0)+SUM(H19,H23,H27,H31)+$C15+$D15</f>
        <v>128806.08</v>
      </c>
      <c r="D4">
        <f t="shared" si="0"/>
        <v>109843.9</v>
      </c>
      <c r="E4">
        <f t="shared" si="0"/>
        <v>90881.72</v>
      </c>
      <c r="G4" t="s">
        <v>42</v>
      </c>
      <c r="H4" s="13">
        <v>90318</v>
      </c>
      <c r="I4" s="13">
        <v>75265</v>
      </c>
      <c r="J4" s="13">
        <v>60212</v>
      </c>
      <c r="M4" s="200" t="s">
        <v>94</v>
      </c>
      <c r="N4">
        <v>200</v>
      </c>
      <c r="O4" s="186" t="s">
        <v>170</v>
      </c>
      <c r="P4" s="9">
        <v>110</v>
      </c>
      <c r="Q4" s="201"/>
    </row>
    <row r="5" spans="2:29" ht="16.5" customHeight="1" x14ac:dyDescent="0.45">
      <c r="B5" t="s">
        <v>46</v>
      </c>
      <c r="C5">
        <f t="shared" si="0"/>
        <v>3101116.02</v>
      </c>
      <c r="D5">
        <f t="shared" si="0"/>
        <v>3385513.7800000003</v>
      </c>
      <c r="E5">
        <f t="shared" si="0"/>
        <v>3669974.54</v>
      </c>
      <c r="G5" t="s">
        <v>46</v>
      </c>
      <c r="H5" s="13">
        <v>2032167</v>
      </c>
      <c r="I5" s="13">
        <v>2257963</v>
      </c>
      <c r="J5" s="13">
        <v>2483759</v>
      </c>
      <c r="M5" s="200" t="s">
        <v>171</v>
      </c>
      <c r="N5">
        <v>550</v>
      </c>
      <c r="O5" s="186" t="s">
        <v>172</v>
      </c>
      <c r="P5" s="9">
        <v>10</v>
      </c>
      <c r="Q5" s="220" t="s">
        <v>173</v>
      </c>
    </row>
    <row r="6" spans="2:29" ht="16.5" customHeight="1" x14ac:dyDescent="0.45">
      <c r="B6" t="s">
        <v>53</v>
      </c>
      <c r="G6" t="s">
        <v>53</v>
      </c>
      <c r="M6" s="200" t="s">
        <v>174</v>
      </c>
      <c r="N6">
        <v>8.1300000000000008</v>
      </c>
      <c r="O6" s="186" t="s">
        <v>175</v>
      </c>
      <c r="P6" s="9">
        <v>1</v>
      </c>
      <c r="Q6" s="201"/>
    </row>
    <row r="7" spans="2:29" ht="16.5" customHeight="1" thickBot="1" x14ac:dyDescent="0.5">
      <c r="B7" t="s">
        <v>96</v>
      </c>
      <c r="C7">
        <f t="shared" ref="C7:E12" si="1">H7+((H7*0.02+20)*3+H$17+$E$17)*(1+0.02*0)+SUM(H$21,H$25,H$29,H$33)+$C$17+$D$17</f>
        <v>20728.88</v>
      </c>
      <c r="D7">
        <f t="shared" si="1"/>
        <v>22625.18</v>
      </c>
      <c r="E7">
        <f t="shared" si="1"/>
        <v>24520.48</v>
      </c>
      <c r="G7" t="s">
        <v>96</v>
      </c>
      <c r="H7" s="13">
        <v>13548</v>
      </c>
      <c r="I7" s="13">
        <v>15053</v>
      </c>
      <c r="J7" s="13">
        <v>16558</v>
      </c>
      <c r="M7" s="202" t="s">
        <v>176</v>
      </c>
      <c r="N7" s="203">
        <v>8.1300000000000008</v>
      </c>
      <c r="O7" s="204" t="s">
        <v>175</v>
      </c>
      <c r="P7" s="205">
        <v>10</v>
      </c>
      <c r="Q7" s="206"/>
      <c r="X7" s="13"/>
      <c r="Y7" s="13"/>
      <c r="Z7" s="13"/>
      <c r="AA7" s="13"/>
      <c r="AB7" s="13"/>
      <c r="AC7" s="13"/>
    </row>
    <row r="8" spans="2:29" ht="16.5" customHeight="1" x14ac:dyDescent="0.45">
      <c r="B8" t="s">
        <v>176</v>
      </c>
      <c r="C8">
        <f t="shared" si="1"/>
        <v>18427.62</v>
      </c>
      <c r="D8">
        <f t="shared" si="1"/>
        <v>20068.46</v>
      </c>
      <c r="E8">
        <f t="shared" si="1"/>
        <v>21709.360000000001</v>
      </c>
      <c r="G8" t="s">
        <v>176</v>
      </c>
      <c r="H8" s="13">
        <v>11377</v>
      </c>
      <c r="I8" s="13">
        <v>12641</v>
      </c>
      <c r="J8" s="13">
        <v>13906</v>
      </c>
      <c r="M8" s="9" t="s">
        <v>177</v>
      </c>
    </row>
    <row r="9" spans="2:29" ht="16.5" customHeight="1" x14ac:dyDescent="0.45">
      <c r="B9" t="s">
        <v>94</v>
      </c>
      <c r="C9">
        <f t="shared" si="1"/>
        <v>18733.96</v>
      </c>
      <c r="D9">
        <f t="shared" si="1"/>
        <v>20408.72</v>
      </c>
      <c r="E9">
        <f t="shared" si="1"/>
        <v>22083.54</v>
      </c>
      <c r="G9" t="s">
        <v>94</v>
      </c>
      <c r="H9" s="13">
        <v>11666</v>
      </c>
      <c r="I9" s="13">
        <v>12962</v>
      </c>
      <c r="J9" s="13">
        <v>14259</v>
      </c>
      <c r="M9" s="12" t="s">
        <v>178</v>
      </c>
      <c r="N9">
        <f>N5/10</f>
        <v>55</v>
      </c>
      <c r="P9">
        <v>1</v>
      </c>
    </row>
    <row r="10" spans="2:29" ht="16.5" customHeight="1" x14ac:dyDescent="0.45">
      <c r="B10" t="s">
        <v>90</v>
      </c>
      <c r="C10">
        <f t="shared" si="1"/>
        <v>20154.36</v>
      </c>
      <c r="D10">
        <f t="shared" si="1"/>
        <v>21987.06</v>
      </c>
      <c r="E10">
        <f t="shared" si="1"/>
        <v>23819.82</v>
      </c>
      <c r="G10" t="s">
        <v>90</v>
      </c>
      <c r="H10" s="13">
        <v>13006</v>
      </c>
      <c r="I10" s="13">
        <v>14451</v>
      </c>
      <c r="J10" s="13">
        <v>15897</v>
      </c>
      <c r="M10" s="12" t="s">
        <v>179</v>
      </c>
      <c r="N10" s="187">
        <v>15.15</v>
      </c>
      <c r="P10">
        <v>10</v>
      </c>
      <c r="Q10" s="197" t="s">
        <v>180</v>
      </c>
    </row>
    <row r="11" spans="2:29" ht="16.5" customHeight="1" x14ac:dyDescent="0.45">
      <c r="B11" t="s">
        <v>174</v>
      </c>
      <c r="C11">
        <f t="shared" si="1"/>
        <v>20376.96</v>
      </c>
      <c r="D11">
        <f t="shared" si="1"/>
        <v>22235.1</v>
      </c>
      <c r="E11">
        <f t="shared" si="1"/>
        <v>24091.18</v>
      </c>
      <c r="G11" t="s">
        <v>174</v>
      </c>
      <c r="H11" s="13">
        <v>13216</v>
      </c>
      <c r="I11" s="13">
        <v>14685</v>
      </c>
      <c r="J11" s="13">
        <v>16153</v>
      </c>
      <c r="M11" s="9"/>
      <c r="N11" s="187"/>
    </row>
    <row r="12" spans="2:29" ht="16.5" customHeight="1" x14ac:dyDescent="0.45">
      <c r="B12" t="s">
        <v>171</v>
      </c>
      <c r="C12">
        <f t="shared" si="1"/>
        <v>18380.98</v>
      </c>
      <c r="D12">
        <f t="shared" si="1"/>
        <v>20016.52</v>
      </c>
      <c r="E12">
        <f t="shared" si="1"/>
        <v>21652.12</v>
      </c>
      <c r="G12" t="s">
        <v>171</v>
      </c>
      <c r="H12" s="13">
        <v>11333</v>
      </c>
      <c r="I12" s="13">
        <v>12592</v>
      </c>
      <c r="J12" s="13">
        <v>13852</v>
      </c>
    </row>
    <row r="14" spans="2:29" ht="16.5" customHeight="1" x14ac:dyDescent="0.45">
      <c r="C14" t="s">
        <v>181</v>
      </c>
      <c r="D14" t="s">
        <v>182</v>
      </c>
      <c r="E14" t="s">
        <v>183</v>
      </c>
      <c r="G14" t="s">
        <v>184</v>
      </c>
      <c r="H14" t="s">
        <v>166</v>
      </c>
      <c r="I14" t="s">
        <v>167</v>
      </c>
      <c r="J14" t="s">
        <v>168</v>
      </c>
    </row>
    <row r="15" spans="2:29" ht="16.5" customHeight="1" x14ac:dyDescent="0.45">
      <c r="B15" t="s">
        <v>42</v>
      </c>
      <c r="C15" s="13">
        <v>2780</v>
      </c>
      <c r="D15">
        <v>9688</v>
      </c>
      <c r="E15">
        <f>25*100</f>
        <v>2500</v>
      </c>
      <c r="G15" t="s">
        <v>42</v>
      </c>
      <c r="H15" s="13">
        <v>1640</v>
      </c>
      <c r="I15" s="13">
        <v>1367</v>
      </c>
      <c r="J15" s="13">
        <v>1094</v>
      </c>
    </row>
    <row r="16" spans="2:29" ht="16.5" customHeight="1" x14ac:dyDescent="0.45">
      <c r="B16" t="s">
        <v>46</v>
      </c>
      <c r="C16" s="13">
        <v>83400</v>
      </c>
      <c r="D16">
        <v>301800</v>
      </c>
      <c r="E16">
        <f>750*100+450*180</f>
        <v>156000</v>
      </c>
      <c r="G16" t="s">
        <v>46</v>
      </c>
      <c r="H16" s="13">
        <v>36897</v>
      </c>
      <c r="I16" s="13">
        <v>40997</v>
      </c>
      <c r="J16" s="13">
        <v>45097</v>
      </c>
    </row>
    <row r="17" spans="2:10" ht="16.5" customHeight="1" x14ac:dyDescent="0.45">
      <c r="B17" t="s">
        <v>53</v>
      </c>
      <c r="C17">
        <v>552</v>
      </c>
      <c r="D17">
        <v>2058</v>
      </c>
      <c r="E17">
        <f>5*100+5*100</f>
        <v>1000</v>
      </c>
      <c r="G17" t="s">
        <v>53</v>
      </c>
      <c r="H17">
        <v>246</v>
      </c>
      <c r="I17">
        <v>273</v>
      </c>
      <c r="J17">
        <v>300</v>
      </c>
    </row>
    <row r="18" spans="2:10" ht="16.5" customHeight="1" x14ac:dyDescent="0.45">
      <c r="G18" t="s">
        <v>185</v>
      </c>
    </row>
    <row r="19" spans="2:10" ht="16.5" customHeight="1" x14ac:dyDescent="0.45">
      <c r="G19" t="s">
        <v>42</v>
      </c>
      <c r="H19" s="13">
        <v>9021</v>
      </c>
      <c r="I19" s="13">
        <v>7518</v>
      </c>
      <c r="J19" s="13">
        <v>6015</v>
      </c>
    </row>
    <row r="20" spans="2:10" ht="16.5" customHeight="1" x14ac:dyDescent="0.45">
      <c r="G20" t="s">
        <v>46</v>
      </c>
      <c r="H20" s="13">
        <v>73771</v>
      </c>
      <c r="I20" s="13">
        <v>81969</v>
      </c>
      <c r="J20" s="13">
        <v>90167</v>
      </c>
    </row>
    <row r="21" spans="2:10" ht="16.5" customHeight="1" x14ac:dyDescent="0.45">
      <c r="G21" t="s">
        <v>53</v>
      </c>
    </row>
    <row r="22" spans="2:10" ht="16.5" customHeight="1" x14ac:dyDescent="0.45">
      <c r="G22" t="s">
        <v>186</v>
      </c>
    </row>
    <row r="23" spans="2:10" ht="16.5" customHeight="1" x14ac:dyDescent="0.45">
      <c r="G23" t="s">
        <v>42</v>
      </c>
      <c r="H23" s="13">
        <v>5741</v>
      </c>
      <c r="I23" s="13">
        <v>4783</v>
      </c>
      <c r="J23" s="13">
        <v>3827</v>
      </c>
    </row>
    <row r="24" spans="2:10" ht="17" x14ac:dyDescent="0.45">
      <c r="G24" t="s">
        <v>46</v>
      </c>
    </row>
    <row r="25" spans="2:10" ht="17" x14ac:dyDescent="0.45">
      <c r="G25" t="s">
        <v>53</v>
      </c>
      <c r="H25">
        <v>981</v>
      </c>
      <c r="I25" s="13">
        <v>1091</v>
      </c>
      <c r="J25" s="13">
        <v>1200</v>
      </c>
    </row>
    <row r="26" spans="2:10" ht="17" x14ac:dyDescent="0.45">
      <c r="E26" s="169" t="s">
        <v>187</v>
      </c>
      <c r="G26" t="s">
        <v>188</v>
      </c>
    </row>
    <row r="27" spans="2:10" ht="17" x14ac:dyDescent="0.45">
      <c r="E27" s="169" t="s">
        <v>187</v>
      </c>
      <c r="G27" t="s">
        <v>42</v>
      </c>
      <c r="H27" s="13">
        <v>1639</v>
      </c>
      <c r="I27" s="13">
        <v>1367</v>
      </c>
      <c r="J27" s="13">
        <v>1093</v>
      </c>
    </row>
    <row r="28" spans="2:10" ht="17" x14ac:dyDescent="0.45">
      <c r="G28" t="s">
        <v>46</v>
      </c>
      <c r="H28" s="13">
        <v>239760</v>
      </c>
      <c r="I28" s="13">
        <v>266400</v>
      </c>
      <c r="J28" s="13">
        <v>293040</v>
      </c>
    </row>
    <row r="29" spans="2:10" ht="17" x14ac:dyDescent="0.45">
      <c r="G29" t="s">
        <v>53</v>
      </c>
    </row>
    <row r="30" spans="2:10" ht="17" x14ac:dyDescent="0.45">
      <c r="G30" t="s">
        <v>189</v>
      </c>
    </row>
    <row r="31" spans="2:10" ht="17" x14ac:dyDescent="0.45">
      <c r="G31" t="s">
        <v>42</v>
      </c>
    </row>
    <row r="32" spans="2:10" ht="17" x14ac:dyDescent="0.45">
      <c r="G32" t="s">
        <v>46</v>
      </c>
      <c r="H32" s="13">
        <v>55331</v>
      </c>
      <c r="I32" s="13">
        <v>61447</v>
      </c>
      <c r="J32" s="13">
        <v>67626</v>
      </c>
    </row>
    <row r="33" spans="2:10" ht="17" x14ac:dyDescent="0.45">
      <c r="G33" t="s">
        <v>53</v>
      </c>
      <c r="H33" s="13">
        <v>1471</v>
      </c>
      <c r="I33" s="13">
        <v>1635</v>
      </c>
      <c r="J33" s="13">
        <v>1799</v>
      </c>
    </row>
    <row r="36" spans="2:10" ht="17" x14ac:dyDescent="0.45">
      <c r="H36" s="13"/>
    </row>
    <row r="39" spans="2:10" ht="17" x14ac:dyDescent="0.45">
      <c r="C39" t="s">
        <v>190</v>
      </c>
    </row>
    <row r="40" spans="2:10" ht="17" x14ac:dyDescent="0.45">
      <c r="B40" t="s">
        <v>191</v>
      </c>
      <c r="C40">
        <v>3</v>
      </c>
      <c r="D40">
        <v>3</v>
      </c>
      <c r="E40">
        <v>3</v>
      </c>
      <c r="F40">
        <v>3</v>
      </c>
      <c r="G40">
        <v>3</v>
      </c>
    </row>
    <row r="41" spans="2:10" ht="17" x14ac:dyDescent="0.45">
      <c r="B41" t="s">
        <v>192</v>
      </c>
      <c r="C41">
        <v>0</v>
      </c>
      <c r="D41">
        <v>0</v>
      </c>
      <c r="E41">
        <v>0</v>
      </c>
      <c r="F41">
        <v>0</v>
      </c>
      <c r="G41">
        <v>0</v>
      </c>
    </row>
    <row r="42" spans="2:10" ht="17" x14ac:dyDescent="0.45">
      <c r="B42" t="s">
        <v>193</v>
      </c>
      <c r="C42">
        <v>30</v>
      </c>
      <c r="D42">
        <v>30</v>
      </c>
      <c r="E42">
        <v>30</v>
      </c>
      <c r="F42">
        <v>30</v>
      </c>
      <c r="G42">
        <v>30</v>
      </c>
    </row>
    <row r="43" spans="2:10" ht="17" x14ac:dyDescent="0.45">
      <c r="B43" t="s">
        <v>194</v>
      </c>
      <c r="C43">
        <v>5</v>
      </c>
      <c r="D43">
        <v>5</v>
      </c>
      <c r="E43">
        <v>5</v>
      </c>
      <c r="F43">
        <v>5</v>
      </c>
      <c r="G43">
        <v>5</v>
      </c>
    </row>
    <row r="44" spans="2:10" ht="17" x14ac:dyDescent="0.45">
      <c r="B44" t="s">
        <v>195</v>
      </c>
      <c r="C44">
        <v>5</v>
      </c>
      <c r="D44">
        <v>5</v>
      </c>
      <c r="E44">
        <v>5</v>
      </c>
      <c r="F44">
        <v>5</v>
      </c>
      <c r="G44">
        <v>5</v>
      </c>
    </row>
    <row r="45" spans="2:10" ht="17" x14ac:dyDescent="0.45">
      <c r="B45" t="s">
        <v>196</v>
      </c>
      <c r="C45">
        <v>5</v>
      </c>
      <c r="D45">
        <v>5</v>
      </c>
      <c r="E45">
        <v>5</v>
      </c>
      <c r="F45">
        <v>5</v>
      </c>
      <c r="G45">
        <v>5</v>
      </c>
    </row>
    <row r="46" spans="2:10" ht="17" x14ac:dyDescent="0.45">
      <c r="B46" t="s">
        <v>197</v>
      </c>
      <c r="C46">
        <v>5</v>
      </c>
      <c r="D46">
        <v>5</v>
      </c>
      <c r="E46">
        <v>5</v>
      </c>
      <c r="F46">
        <v>5</v>
      </c>
      <c r="G46">
        <v>5</v>
      </c>
    </row>
    <row r="47" spans="2:10" ht="17" x14ac:dyDescent="0.45">
      <c r="B47" t="s">
        <v>198</v>
      </c>
      <c r="C47">
        <v>15</v>
      </c>
      <c r="D47">
        <v>15</v>
      </c>
      <c r="E47">
        <v>15</v>
      </c>
      <c r="F47">
        <v>15</v>
      </c>
      <c r="G47">
        <v>15</v>
      </c>
    </row>
    <row r="48" spans="2:10" ht="17" x14ac:dyDescent="0.45">
      <c r="B48" t="s">
        <v>199</v>
      </c>
      <c r="C48">
        <v>15</v>
      </c>
      <c r="D48">
        <v>15</v>
      </c>
      <c r="E48">
        <v>15</v>
      </c>
      <c r="F48">
        <v>15</v>
      </c>
      <c r="G48">
        <v>15</v>
      </c>
    </row>
    <row r="49" spans="2:7" ht="17" x14ac:dyDescent="0.45">
      <c r="B49" t="s">
        <v>200</v>
      </c>
      <c r="C49">
        <v>100</v>
      </c>
      <c r="D49">
        <v>100</v>
      </c>
      <c r="E49">
        <v>100</v>
      </c>
      <c r="F49">
        <v>100</v>
      </c>
      <c r="G49">
        <v>100</v>
      </c>
    </row>
    <row r="50" spans="2:7" ht="17" x14ac:dyDescent="0.45">
      <c r="B50" t="s">
        <v>201</v>
      </c>
      <c r="C50">
        <v>100</v>
      </c>
      <c r="D50">
        <v>100</v>
      </c>
      <c r="E50">
        <v>100</v>
      </c>
      <c r="F50">
        <v>100</v>
      </c>
      <c r="G50">
        <v>100</v>
      </c>
    </row>
    <row r="51" spans="2:7" ht="17" x14ac:dyDescent="0.45">
      <c r="B51" t="s">
        <v>202</v>
      </c>
      <c r="C51">
        <v>180</v>
      </c>
      <c r="D51">
        <v>180</v>
      </c>
      <c r="E51">
        <v>180</v>
      </c>
      <c r="F51">
        <v>180</v>
      </c>
      <c r="G51">
        <v>180</v>
      </c>
    </row>
    <row r="52" spans="2:7" ht="17" x14ac:dyDescent="0.45"/>
    <row r="53" spans="2:7" ht="17" x14ac:dyDescent="0.45"/>
    <row r="54" spans="2:7" ht="17" x14ac:dyDescent="0.45"/>
    <row r="55" spans="2:7" ht="17" x14ac:dyDescent="0.45"/>
    <row r="56" spans="2:7" ht="17" x14ac:dyDescent="0.45"/>
    <row r="57" spans="2:7" ht="17" x14ac:dyDescent="0.45"/>
    <row r="58" spans="2:7" ht="17" x14ac:dyDescent="0.45"/>
    <row r="59" spans="2:7" ht="17" x14ac:dyDescent="0.45"/>
    <row r="60" spans="2:7" ht="17" x14ac:dyDescent="0.45"/>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0620C-5F73-4D8C-A730-FDBEAE259771}">
  <dimension ref="A1:AX78"/>
  <sheetViews>
    <sheetView zoomScale="70" zoomScaleNormal="70" workbookViewId="0">
      <selection activeCell="H24" sqref="H24"/>
    </sheetView>
  </sheetViews>
  <sheetFormatPr defaultRowHeight="17" x14ac:dyDescent="0.45"/>
  <cols>
    <col min="1" max="1" width="19.33203125" customWidth="1"/>
    <col min="2" max="2" width="23" bestFit="1" customWidth="1"/>
    <col min="3" max="21" width="12.75" customWidth="1"/>
    <col min="22" max="22" width="15.33203125" bestFit="1" customWidth="1"/>
    <col min="23" max="32" width="9.08203125" customWidth="1"/>
    <col min="33" max="35" width="9.5" bestFit="1" customWidth="1"/>
    <col min="36" max="36" width="12.83203125" bestFit="1" customWidth="1"/>
    <col min="38" max="38" width="9.5" bestFit="1" customWidth="1"/>
    <col min="39" max="48" width="9.08203125" customWidth="1"/>
  </cols>
  <sheetData>
    <row r="1" spans="1:50" x14ac:dyDescent="0.45">
      <c r="C1" s="267" t="s">
        <v>203</v>
      </c>
      <c r="D1" s="267"/>
      <c r="E1" s="267" t="s">
        <v>204</v>
      </c>
      <c r="F1" s="267"/>
      <c r="G1" s="267"/>
      <c r="H1" s="267"/>
      <c r="I1" s="267" t="s">
        <v>205</v>
      </c>
      <c r="J1" s="267"/>
      <c r="K1" s="267"/>
      <c r="L1" s="267"/>
      <c r="M1" t="s">
        <v>206</v>
      </c>
      <c r="N1" s="267" t="s">
        <v>207</v>
      </c>
      <c r="O1" s="267"/>
      <c r="P1" s="267"/>
      <c r="Q1" s="267"/>
      <c r="R1" s="267" t="s">
        <v>208</v>
      </c>
      <c r="S1" s="267"/>
      <c r="T1" s="267"/>
      <c r="U1" s="267"/>
    </row>
    <row r="2" spans="1:50" x14ac:dyDescent="0.45">
      <c r="C2" s="268">
        <f>C5+D5</f>
        <v>104837871.19141442</v>
      </c>
      <c r="D2" s="268"/>
      <c r="E2" s="268">
        <f>SUM(E5:H5)</f>
        <v>37661301.031725869</v>
      </c>
      <c r="F2" s="268"/>
      <c r="G2" s="268"/>
      <c r="H2" s="268"/>
      <c r="I2" s="268">
        <f>SUM(I5:L5)</f>
        <v>33753023.14116928</v>
      </c>
      <c r="J2" s="268"/>
      <c r="K2" s="268"/>
      <c r="L2" s="268"/>
      <c r="M2" s="242">
        <f>M5</f>
        <v>0</v>
      </c>
      <c r="N2" s="268">
        <f>SUM(N5:Q5)</f>
        <v>37423712.413133286</v>
      </c>
      <c r="O2" s="268"/>
      <c r="P2" s="268"/>
      <c r="Q2" s="268"/>
      <c r="R2" s="268">
        <f>SUM(R5:U5)</f>
        <v>25706168.188824635</v>
      </c>
      <c r="S2" s="268"/>
      <c r="T2" s="268"/>
      <c r="U2" s="268"/>
    </row>
    <row r="3" spans="1:50" x14ac:dyDescent="0.45">
      <c r="A3" s="136" t="s">
        <v>209</v>
      </c>
      <c r="B3" s="269" t="str">
        <f>메인!F4</f>
        <v>신데렐라</v>
      </c>
      <c r="C3" s="139"/>
      <c r="D3" s="11"/>
      <c r="E3" s="64" t="s">
        <v>61</v>
      </c>
      <c r="F3" s="64" t="s">
        <v>62</v>
      </c>
      <c r="G3" s="64" t="s">
        <v>63</v>
      </c>
      <c r="H3" s="64" t="s">
        <v>64</v>
      </c>
      <c r="I3" s="64" t="s">
        <v>61</v>
      </c>
      <c r="J3" s="64" t="s">
        <v>62</v>
      </c>
      <c r="K3" s="64" t="s">
        <v>63</v>
      </c>
      <c r="L3" s="64" t="s">
        <v>64</v>
      </c>
      <c r="M3" s="139" t="s">
        <v>210</v>
      </c>
      <c r="N3" s="64" t="s">
        <v>61</v>
      </c>
      <c r="O3" s="64" t="s">
        <v>62</v>
      </c>
      <c r="P3" s="64" t="s">
        <v>63</v>
      </c>
      <c r="Q3" s="64" t="s">
        <v>64</v>
      </c>
      <c r="R3" s="64" t="s">
        <v>61</v>
      </c>
      <c r="S3" s="64" t="s">
        <v>62</v>
      </c>
      <c r="T3" s="64" t="s">
        <v>63</v>
      </c>
      <c r="U3" s="64" t="s">
        <v>64</v>
      </c>
      <c r="V3" s="65"/>
    </row>
    <row r="4" spans="1:50" x14ac:dyDescent="0.45">
      <c r="A4" s="135" t="s">
        <v>211</v>
      </c>
      <c r="B4" s="269"/>
      <c r="C4" s="73" t="str" cm="1">
        <f t="array" ref="C4">IF(ISBLANK(INDEX(딜러데이터!$54:$54, 1, MATCH(메인!$F$4, 딜러데이터!$1:$1, 0)+C$8)), "", INDEX(딜러데이터!$54:$54, 1, MATCH(메인!$F$4, 딜러데이터!$1:$1, 0)+C$8))</f>
        <v>버스트</v>
      </c>
      <c r="D4" s="73" t="str" cm="1">
        <f t="array" ref="D4">IF(ISBLANK(INDEX(딜러데이터!$54:$54, 1, MATCH(메인!$F$4, 딜러데이터!$1:$1, 0)+D$8)), "", INDEX(딜러데이터!$54:$54, 1, MATCH(메인!$F$4, 딜러데이터!$1:$1, 0)+D$8))</f>
        <v>버스투추가</v>
      </c>
      <c r="E4" s="73" t="str" cm="1">
        <f t="array" ref="E4">IF(ISBLANK(INDEX(딜러데이터!$54:$54, 1, MATCH(메인!$F$4, 딜러데이터!$1:$1, 0)+E$8)), "", INDEX(딜러데이터!$54:$54, 1, MATCH(메인!$F$4, 딜러데이터!$1:$1, 0)+E$8))</f>
        <v>평타</v>
      </c>
      <c r="F4" s="73" t="str" cm="1">
        <f t="array" ref="F4">IF(ISBLANK(INDEX(딜러데이터!$54:$54, 1, MATCH(메인!$F$4, 딜러데이터!$1:$1, 0)+F$8)), "", INDEX(딜러데이터!$54:$54, 1, MATCH(메인!$F$4, 딜러데이터!$1:$1, 0)+F$8))</f>
        <v>풀차지</v>
      </c>
      <c r="G4" s="73" t="str" cm="1">
        <f t="array" ref="G4">IF(ISBLANK(INDEX(딜러데이터!$54:$54, 1, MATCH(메인!$F$4, 딜러데이터!$1:$1, 0)+G$8)), "", INDEX(딜러데이터!$54:$54, 1, MATCH(메인!$F$4, 딜러데이터!$1:$1, 0)+G$8))</f>
        <v/>
      </c>
      <c r="H4" s="73" t="str" cm="1">
        <f t="array" ref="H4">IF(ISBLANK(INDEX(딜러데이터!$54:$54, 1, MATCH(메인!$F$4, 딜러데이터!$1:$1, 0)+H$8)), "", INDEX(딜러데이터!$54:$54, 1, MATCH(메인!$F$4, 딜러데이터!$1:$1, 0)+H$8))</f>
        <v/>
      </c>
      <c r="I4" s="73" t="str" cm="1">
        <f t="array" ref="I4">IF(ISBLANK(INDEX(딜러데이터!$54:$54, 1, MATCH(메인!$F$4, 딜러데이터!$1:$1, 0)+I$8)), "", INDEX(딜러데이터!$54:$54, 1, MATCH(메인!$F$4, 딜러데이터!$1:$1, 0)+I$8))</f>
        <v>평타</v>
      </c>
      <c r="J4" s="73" t="str" cm="1">
        <f t="array" ref="J4">IF(ISBLANK(INDEX(딜러데이터!$54:$54, 1, MATCH(메인!$F$4, 딜러데이터!$1:$1, 0)+J$8)), "", INDEX(딜러데이터!$54:$54, 1, MATCH(메인!$F$4, 딜러데이터!$1:$1, 0)+J$8))</f>
        <v>풀차지</v>
      </c>
      <c r="K4" s="73" t="str" cm="1">
        <f t="array" ref="K4">IF(ISBLANK(INDEX(딜러데이터!$54:$54, 1, MATCH(메인!$F$4, 딜러데이터!$1:$1, 0)+K$8)), "", INDEX(딜러데이터!$54:$54, 1, MATCH(메인!$F$4, 딜러데이터!$1:$1, 0)+K$8))</f>
        <v/>
      </c>
      <c r="L4" s="73" t="str" cm="1">
        <f t="array" ref="L4">IF(ISBLANK(INDEX(딜러데이터!$54:$54, 1, MATCH(메인!$F$4, 딜러데이터!$1:$1, 0)+L$8)), "", INDEX(딜러데이터!$54:$54, 1, MATCH(메인!$F$4, 딜러데이터!$1:$1, 0)+L$8))</f>
        <v/>
      </c>
      <c r="M4" s="229" t="str" cm="1">
        <f t="array" ref="M4">IF(ISBLANK(INDEX(딜러데이터!$67:$67, 1, MATCH(메인!$F$4, 딜러데이터!$1:$1, 0)+M$8)), "", INDEX(딜러데이터!$67:$67, 1, MATCH(메인!$F$4, 딜러데이터!$1:$1, 0)+M$8))</f>
        <v/>
      </c>
      <c r="N4" s="73" t="str" cm="1">
        <f t="array" ref="N4">IF(ISBLANK(INDEX(딜러데이터!$54:$54, 1, MATCH(메인!$F$4, 딜러데이터!$1:$1, 0)+N$8)), "", INDEX(딜러데이터!$54:$54, 1, MATCH(메인!$F$4, 딜러데이터!$1:$1, 0)+N$8))</f>
        <v>평타</v>
      </c>
      <c r="O4" s="73" t="str" cm="1">
        <f t="array" ref="O4">IF(ISBLANK(INDEX(딜러데이터!$54:$54, 1, MATCH(메인!$F$4, 딜러데이터!$1:$1, 0)+O$8)), "", INDEX(딜러데이터!$54:$54, 1, MATCH(메인!$F$4, 딜러데이터!$1:$1, 0)+O$8))</f>
        <v>풀차지</v>
      </c>
      <c r="P4" s="73" t="str" cm="1">
        <f t="array" ref="P4">IF(ISBLANK(INDEX(딜러데이터!$54:$54, 1, MATCH(메인!$F$4, 딜러데이터!$1:$1, 0)+P$8)), "", INDEX(딜러데이터!$54:$54, 1, MATCH(메인!$F$4, 딜러데이터!$1:$1, 0)+P$8))</f>
        <v/>
      </c>
      <c r="Q4" s="73" t="str" cm="1">
        <f t="array" ref="Q4">IF(ISBLANK(INDEX(딜러데이터!$54:$54, 1, MATCH(메인!$F$4, 딜러데이터!$1:$1, 0)+Q$8)), "", INDEX(딜러데이터!$54:$54, 1, MATCH(메인!$F$4, 딜러데이터!$1:$1, 0)+Q$8))</f>
        <v/>
      </c>
      <c r="R4" s="73" t="str" cm="1">
        <f t="array" ref="R4">IF(ISBLANK(INDEX(딜러데이터!$54:$54, 1, MATCH(메인!$F$4, 딜러데이터!$1:$1, 0)+R$8)), "", INDEX(딜러데이터!$54:$54, 1, MATCH(메인!$F$4, 딜러데이터!$1:$1, 0)+R$8))</f>
        <v>평타</v>
      </c>
      <c r="S4" s="73" t="str" cm="1">
        <f t="array" ref="S4">IF(ISBLANK(INDEX(딜러데이터!$54:$54, 1, MATCH(메인!$F$4, 딜러데이터!$1:$1, 0)+S$8)), "", INDEX(딜러데이터!$54:$54, 1, MATCH(메인!$F$4, 딜러데이터!$1:$1, 0)+S$8))</f>
        <v>풀차지</v>
      </c>
      <c r="T4" s="73" t="str" cm="1">
        <f t="array" ref="T4">IF(ISBLANK(INDEX(딜러데이터!$54:$54, 1, MATCH(메인!$F$4, 딜러데이터!$1:$1, 0)+T$8)), "", INDEX(딜러데이터!$54:$54, 1, MATCH(메인!$F$4, 딜러데이터!$1:$1, 0)+T$8))</f>
        <v/>
      </c>
      <c r="U4" s="73" t="str" cm="1">
        <f t="array" ref="U4">IF(ISBLANK(INDEX(딜러데이터!$54:$54, 1, MATCH(메인!$F$4, 딜러데이터!$1:$1, 0)+U$8)), "", INDEX(딜러데이터!$54:$54, 1, MATCH(메인!$F$4, 딜러데이터!$1:$1, 0)+U$8))</f>
        <v/>
      </c>
    </row>
    <row r="5" spans="1:50" x14ac:dyDescent="0.45">
      <c r="A5" s="134" t="s">
        <v>212</v>
      </c>
      <c r="B5" s="9" t="s">
        <v>213</v>
      </c>
      <c r="C5" s="64">
        <f>C19*C9</f>
        <v>70052092.509895518</v>
      </c>
      <c r="D5" s="64">
        <f t="shared" ref="D5:U5" si="0">D19*D9</f>
        <v>34785778.681518897</v>
      </c>
      <c r="E5" s="64">
        <f>E19*E9</f>
        <v>17108803.765741952</v>
      </c>
      <c r="F5" s="64">
        <f t="shared" si="0"/>
        <v>20552497.265983917</v>
      </c>
      <c r="G5" s="64">
        <f>G19*G9</f>
        <v>0</v>
      </c>
      <c r="H5" s="64">
        <f t="shared" si="0"/>
        <v>0</v>
      </c>
      <c r="I5" s="64">
        <f t="shared" si="0"/>
        <v>15333348.386885211</v>
      </c>
      <c r="J5" s="64">
        <f t="shared" si="0"/>
        <v>18419674.754284069</v>
      </c>
      <c r="K5" s="64">
        <f t="shared" si="0"/>
        <v>0</v>
      </c>
      <c r="L5" s="64">
        <f t="shared" si="0"/>
        <v>0</v>
      </c>
      <c r="M5" s="64">
        <f>M19*M9</f>
        <v>0</v>
      </c>
      <c r="N5" s="64">
        <f t="shared" si="0"/>
        <v>21893839.860344239</v>
      </c>
      <c r="O5" s="64">
        <f t="shared" si="0"/>
        <v>15529872.552789045</v>
      </c>
      <c r="P5" s="64">
        <f t="shared" si="0"/>
        <v>0</v>
      </c>
      <c r="Q5" s="64">
        <f t="shared" si="0"/>
        <v>0</v>
      </c>
      <c r="R5" s="64">
        <f t="shared" si="0"/>
        <v>11945664.86099687</v>
      </c>
      <c r="S5" s="64">
        <f t="shared" si="0"/>
        <v>13760503.327827765</v>
      </c>
      <c r="T5" s="64">
        <f t="shared" si="0"/>
        <v>0</v>
      </c>
      <c r="U5" s="64">
        <f t="shared" si="0"/>
        <v>0</v>
      </c>
      <c r="AL5" s="1"/>
      <c r="AM5" s="1"/>
      <c r="AN5" s="1"/>
      <c r="AO5" s="1"/>
      <c r="AP5" s="1"/>
      <c r="AQ5" s="1"/>
      <c r="AR5" s="1"/>
      <c r="AS5" s="1"/>
      <c r="AT5" s="1"/>
      <c r="AU5" s="1"/>
      <c r="AV5" s="1"/>
      <c r="AW5" s="1"/>
      <c r="AX5" s="1"/>
    </row>
    <row r="6" spans="1:50" x14ac:dyDescent="0.45">
      <c r="C6" s="191"/>
      <c r="D6" s="191"/>
      <c r="E6" s="191"/>
      <c r="F6" s="191"/>
      <c r="G6" s="191"/>
      <c r="H6" s="191"/>
      <c r="I6" s="191"/>
      <c r="J6" s="191"/>
      <c r="K6" s="191"/>
      <c r="L6" s="191"/>
      <c r="M6" s="191"/>
      <c r="N6" s="191"/>
      <c r="O6" s="191"/>
      <c r="P6" s="191"/>
      <c r="Q6" s="191"/>
      <c r="R6" s="191"/>
      <c r="S6" s="191"/>
      <c r="T6" s="191"/>
      <c r="U6" s="191"/>
      <c r="AL6" s="1"/>
      <c r="AM6" s="1"/>
      <c r="AN6" s="1"/>
      <c r="AO6" s="1"/>
      <c r="AP6" s="1"/>
      <c r="AQ6" s="1"/>
      <c r="AR6" s="1"/>
      <c r="AS6" s="1"/>
      <c r="AT6" s="1"/>
      <c r="AU6" s="1"/>
      <c r="AV6" s="1"/>
      <c r="AW6" s="1"/>
      <c r="AX6" s="1"/>
    </row>
    <row r="7" spans="1:50" x14ac:dyDescent="0.45">
      <c r="C7" s="241" t="s">
        <v>214</v>
      </c>
      <c r="D7" s="241" t="s">
        <v>215</v>
      </c>
      <c r="E7" s="241" t="s">
        <v>216</v>
      </c>
      <c r="F7" s="241" t="s">
        <v>216</v>
      </c>
      <c r="G7" s="241" t="s">
        <v>216</v>
      </c>
      <c r="H7" s="241" t="s">
        <v>216</v>
      </c>
      <c r="I7" s="241" t="s">
        <v>217</v>
      </c>
      <c r="J7" s="241" t="s">
        <v>217</v>
      </c>
      <c r="K7" s="241" t="s">
        <v>217</v>
      </c>
      <c r="L7" s="241" t="s">
        <v>217</v>
      </c>
      <c r="M7" s="241" t="s">
        <v>218</v>
      </c>
      <c r="N7" s="241" t="s">
        <v>219</v>
      </c>
      <c r="O7" s="241" t="s">
        <v>219</v>
      </c>
      <c r="P7" s="241" t="s">
        <v>219</v>
      </c>
      <c r="Q7" s="241" t="s">
        <v>219</v>
      </c>
      <c r="R7" s="241" t="s">
        <v>220</v>
      </c>
      <c r="S7" s="241" t="s">
        <v>220</v>
      </c>
      <c r="T7" s="241" t="s">
        <v>220</v>
      </c>
      <c r="U7" s="241" t="s">
        <v>220</v>
      </c>
      <c r="AL7" s="1"/>
      <c r="AM7" s="1"/>
      <c r="AN7" s="1"/>
      <c r="AO7" s="1"/>
      <c r="AP7" s="1"/>
      <c r="AQ7" s="1"/>
      <c r="AR7" s="1"/>
      <c r="AS7" s="1"/>
      <c r="AT7" s="1"/>
      <c r="AU7" s="1"/>
      <c r="AV7" s="1"/>
      <c r="AW7" s="1"/>
      <c r="AX7" s="1"/>
    </row>
    <row r="8" spans="1:50" x14ac:dyDescent="0.45">
      <c r="A8" t="s">
        <v>221</v>
      </c>
      <c r="B8" t="s">
        <v>222</v>
      </c>
      <c r="C8" s="11">
        <v>0</v>
      </c>
      <c r="D8" s="11">
        <v>1</v>
      </c>
      <c r="E8" s="11">
        <v>2</v>
      </c>
      <c r="F8" s="11">
        <v>3</v>
      </c>
      <c r="G8" s="11">
        <v>4</v>
      </c>
      <c r="H8" s="11">
        <v>5</v>
      </c>
      <c r="I8" s="11">
        <v>2</v>
      </c>
      <c r="J8" s="11">
        <v>3</v>
      </c>
      <c r="K8" s="11">
        <v>4</v>
      </c>
      <c r="L8" s="11">
        <v>5</v>
      </c>
      <c r="M8" s="11">
        <v>0</v>
      </c>
      <c r="N8" s="11">
        <v>2</v>
      </c>
      <c r="O8" s="11">
        <v>3</v>
      </c>
      <c r="P8" s="11">
        <v>4</v>
      </c>
      <c r="Q8" s="11">
        <v>5</v>
      </c>
      <c r="R8" s="11">
        <v>2</v>
      </c>
      <c r="S8" s="11">
        <v>3</v>
      </c>
      <c r="T8" s="11">
        <v>4</v>
      </c>
      <c r="U8" s="11">
        <v>5</v>
      </c>
      <c r="AL8" s="1"/>
      <c r="AM8" s="1"/>
      <c r="AN8" s="1"/>
      <c r="AO8" s="1"/>
      <c r="AP8" s="1"/>
      <c r="AQ8" s="1"/>
      <c r="AR8" s="1"/>
      <c r="AS8" s="1"/>
      <c r="AT8" s="1"/>
      <c r="AU8" s="1"/>
      <c r="AV8" s="1"/>
      <c r="AW8" s="1"/>
      <c r="AX8" s="1"/>
    </row>
    <row r="9" spans="1:50" x14ac:dyDescent="0.45">
      <c r="B9" s="9" t="s">
        <v>223</v>
      </c>
      <c r="C9" s="74">
        <f>IF(OR(C8=0,C8=1),C10,0.5*IF(COUNTIF(C15:C18,"*차지"),C11,C10*IF(COUNTIF(C15,"*SG"),1+C67,1)))</f>
        <v>10</v>
      </c>
      <c r="D9" s="74">
        <f t="shared" ref="D9:U9" si="1">IF(OR(D8=0,D8=1),D10,0.5*IF(COUNTIF(D15:D18,"*차지"),D11,D10*IF(COUNTIF(D15,"*SG"),1+D67,1)))</f>
        <v>10</v>
      </c>
      <c r="E9" s="74">
        <f t="shared" si="1"/>
        <v>15</v>
      </c>
      <c r="F9" s="74">
        <f t="shared" si="1"/>
        <v>15</v>
      </c>
      <c r="G9" s="74">
        <f t="shared" si="1"/>
        <v>0</v>
      </c>
      <c r="H9" s="74">
        <f t="shared" si="1"/>
        <v>0</v>
      </c>
      <c r="I9" s="74">
        <f t="shared" si="1"/>
        <v>15</v>
      </c>
      <c r="J9" s="74">
        <f t="shared" si="1"/>
        <v>15</v>
      </c>
      <c r="K9" s="74">
        <f t="shared" si="1"/>
        <v>0</v>
      </c>
      <c r="L9" s="74">
        <f t="shared" si="1"/>
        <v>0</v>
      </c>
      <c r="M9" s="74">
        <f t="shared" si="1"/>
        <v>0</v>
      </c>
      <c r="N9" s="74">
        <f t="shared" si="1"/>
        <v>15</v>
      </c>
      <c r="O9" s="74">
        <f t="shared" si="1"/>
        <v>15</v>
      </c>
      <c r="P9" s="74">
        <f t="shared" si="1"/>
        <v>0</v>
      </c>
      <c r="Q9" s="74">
        <f t="shared" si="1"/>
        <v>0</v>
      </c>
      <c r="R9" s="74">
        <f t="shared" si="1"/>
        <v>15</v>
      </c>
      <c r="S9" s="74">
        <f t="shared" si="1"/>
        <v>15</v>
      </c>
      <c r="T9" s="74">
        <f t="shared" si="1"/>
        <v>0</v>
      </c>
      <c r="U9" s="74">
        <f t="shared" si="1"/>
        <v>0</v>
      </c>
      <c r="V9" s="9"/>
      <c r="AL9" s="1"/>
      <c r="AM9" s="1"/>
      <c r="AN9" s="1"/>
      <c r="AO9" s="1"/>
      <c r="AP9" s="1"/>
      <c r="AQ9" s="1"/>
      <c r="AR9" s="1"/>
      <c r="AS9" s="1"/>
      <c r="AT9" s="1"/>
      <c r="AU9" s="1"/>
      <c r="AV9" s="1"/>
      <c r="AW9" s="1"/>
      <c r="AX9" s="1"/>
    </row>
    <row r="10" spans="1:50" x14ac:dyDescent="0.45">
      <c r="B10" s="9" t="s">
        <v>224</v>
      </c>
      <c r="C10" s="67" cm="1">
        <f t="array" ref="C10">INDEX(딜러데이터!$56:$56, 1, MATCH(메인!$F$4, 딜러데이터!$1:$1, 0)+C$8)</f>
        <v>10</v>
      </c>
      <c r="D10" s="67" cm="1">
        <f t="array" ref="D10">INDEX(딜러데이터!$56:$56, 1, MATCH(메인!$F$4, 딜러데이터!$1:$1, 0)+D$8)</f>
        <v>10</v>
      </c>
      <c r="E10" s="67" cm="1">
        <f t="array" ref="E10">INDEX(딜러데이터!$56:$56, 1, MATCH(메인!$F$4, 딜러데이터!$1:$1, 0)+E$8)</f>
        <v>30</v>
      </c>
      <c r="F10" s="67" cm="1">
        <f t="array" ref="F10">INDEX(딜러데이터!$56:$56, 1, MATCH(메인!$F$4, 딜러데이터!$1:$1, 0)+F$8)</f>
        <v>30</v>
      </c>
      <c r="G10" s="67" cm="1">
        <f t="array" ref="G10">INDEX(딜러데이터!$56:$56, 1, MATCH(메인!$F$4, 딜러데이터!$1:$1, 0)+G$8)</f>
        <v>0</v>
      </c>
      <c r="H10" s="67" cm="1">
        <f t="array" ref="H10">INDEX(딜러데이터!$56:$56, 1, MATCH(메인!$F$4, 딜러데이터!$1:$1, 0)+H$8)</f>
        <v>0</v>
      </c>
      <c r="I10" s="67" cm="1">
        <f t="array" ref="I10">INDEX(딜러데이터!$56:$56, 1, MATCH(메인!$F$4, 딜러데이터!$1:$1, 0)+I$8)</f>
        <v>30</v>
      </c>
      <c r="J10" s="67" cm="1">
        <f t="array" ref="J10">INDEX(딜러데이터!$56:$56, 1, MATCH(메인!$F$4, 딜러데이터!$1:$1, 0)+J$8)</f>
        <v>30</v>
      </c>
      <c r="K10" s="67" cm="1">
        <f t="array" ref="K10">INDEX(딜러데이터!$56:$56, 1, MATCH(메인!$F$4, 딜러데이터!$1:$1, 0)+K$8)</f>
        <v>0</v>
      </c>
      <c r="L10" s="67" cm="1">
        <f t="array" ref="L10">INDEX(딜러데이터!$56:$56, 1, MATCH(메인!$F$4, 딜러데이터!$1:$1, 0)+L$8)</f>
        <v>0</v>
      </c>
      <c r="M10" s="228" cm="1">
        <f t="array" ref="M10">INDEX(딜러데이터!$69:$69, 1, MATCH(메인!$F$4, 딜러데이터!$1:$1, 0)+M$8)</f>
        <v>0</v>
      </c>
      <c r="N10" s="67" cm="1">
        <f t="array" ref="N10">INDEX(딜러데이터!$69:$69, 1, MATCH(메인!$F$4, 딜러데이터!$1:$1, 0)+N$8)</f>
        <v>30</v>
      </c>
      <c r="O10" s="67" cm="1">
        <f t="array" ref="O10">INDEX(딜러데이터!$69:$69, 1, MATCH(메인!$F$4, 딜러데이터!$1:$1, 0)+O$8)</f>
        <v>30</v>
      </c>
      <c r="P10" s="67" cm="1">
        <f t="array" ref="P10">INDEX(딜러데이터!$69:$69, 1, MATCH(메인!$F$4, 딜러데이터!$1:$1, 0)+P$8)</f>
        <v>0</v>
      </c>
      <c r="Q10" s="67" cm="1">
        <f t="array" ref="Q10">INDEX(딜러데이터!$69:$69, 1, MATCH(메인!$F$4, 딜러데이터!$1:$1, 0)+Q$8)</f>
        <v>0</v>
      </c>
      <c r="R10" s="67" cm="1">
        <f t="array" ref="R10">INDEX(딜러데이터!$69:$69, 1, MATCH(메인!$F$4, 딜러데이터!$1:$1, 0)+R$8)</f>
        <v>30</v>
      </c>
      <c r="S10" s="67" cm="1">
        <f t="array" ref="S10">INDEX(딜러데이터!$69:$69, 1, MATCH(메인!$F$4, 딜러데이터!$1:$1, 0)+S$8)</f>
        <v>30</v>
      </c>
      <c r="T10" s="67" cm="1">
        <f t="array" ref="T10">INDEX(딜러데이터!$69:$69, 1, MATCH(메인!$F$4, 딜러데이터!$1:$1, 0)+T$8)</f>
        <v>0</v>
      </c>
      <c r="U10" s="67" cm="1">
        <f t="array" ref="U10">INDEX(딜러데이터!$69:$69, 1, MATCH(메인!$F$4, 딜러데이터!$1:$1, 0)+U$8)</f>
        <v>0</v>
      </c>
      <c r="AL10" s="1"/>
      <c r="AM10" s="1"/>
      <c r="AN10" s="1"/>
      <c r="AO10" s="1"/>
      <c r="AP10" s="1"/>
      <c r="AQ10" s="1"/>
      <c r="AR10" s="1"/>
      <c r="AS10" s="1"/>
      <c r="AT10" s="1"/>
      <c r="AU10" s="1"/>
      <c r="AV10" s="1"/>
      <c r="AW10" s="1"/>
      <c r="AX10" s="1"/>
    </row>
    <row r="11" spans="1:50" x14ac:dyDescent="0.45">
      <c r="B11" s="12" t="s">
        <v>225</v>
      </c>
      <c r="C11" s="226">
        <f>IF(메인!$C$13,10/(C12*(1-C13)+C14),C10)</f>
        <v>10</v>
      </c>
      <c r="D11" s="226">
        <f>IF(메인!$C$13,10/(D12*(1-D13)+D14),D10)</f>
        <v>10</v>
      </c>
      <c r="E11" s="226">
        <f>IF(메인!$C$13,10/(E12*(1-E13)+E14),E10)</f>
        <v>30</v>
      </c>
      <c r="F11" s="226">
        <f>IF(메인!$C$13,10/(F12*(1-F13)+F14),F10)</f>
        <v>30</v>
      </c>
      <c r="G11" s="226">
        <f>IF(메인!$C$13,10/(G12*(1-G13)+G14),G10)</f>
        <v>0</v>
      </c>
      <c r="H11" s="226">
        <f>IF(메인!$C$13,10/(H12*(1-H13)+H14),H10)</f>
        <v>0</v>
      </c>
      <c r="I11" s="226">
        <f>IF(메인!$C$13,10/(I12*(1-I13)+I14),I10)</f>
        <v>30</v>
      </c>
      <c r="J11" s="226">
        <f>IF(메인!$C$13,10/(J12*(1-J13)+J14),J10)</f>
        <v>30</v>
      </c>
      <c r="K11" s="226">
        <f>IF(메인!$C$13,10/(K12*(1-K13)+K14),K10)</f>
        <v>0</v>
      </c>
      <c r="L11" s="226">
        <f>IF(메인!$C$13,10/(L12*(1-L13)+L14),L10)</f>
        <v>0</v>
      </c>
      <c r="M11" s="226">
        <f>IF(메인!$C$13,10/(M12*(1-M13)+M14),M10)</f>
        <v>0</v>
      </c>
      <c r="N11" s="226">
        <f>IF(메인!$C$13,10/(N12*(1-N13)+N14),N10)</f>
        <v>30</v>
      </c>
      <c r="O11" s="226">
        <f>IF(메인!$C$13,10/(O12*(1-O13)+O14),O10)</f>
        <v>30</v>
      </c>
      <c r="P11" s="226">
        <f>IF(메인!$C$13,10/(P12*(1-P13)+P14),P10)</f>
        <v>0</v>
      </c>
      <c r="Q11" s="226">
        <f>IF(메인!$C$13,10/(Q12*(1-Q13)+Q14),Q10)</f>
        <v>0</v>
      </c>
      <c r="R11" s="226">
        <f>IF(메인!$C$13,10/(R12*(1-R13)+R14),R10)</f>
        <v>30</v>
      </c>
      <c r="S11" s="226">
        <f>IF(메인!$C$13,10/(S12*(1-S13)+S14),S10)</f>
        <v>30</v>
      </c>
      <c r="T11" s="226">
        <f>IF(메인!$C$13,10/(T12*(1-T13)+T14),T10)</f>
        <v>0</v>
      </c>
      <c r="U11" s="226">
        <f>IF(메인!$C$13,10/(U12*(1-U13)+U14),U10)</f>
        <v>0</v>
      </c>
      <c r="AL11" s="1"/>
      <c r="AM11" s="1"/>
      <c r="AN11" s="1"/>
      <c r="AO11" s="1"/>
      <c r="AP11" s="1"/>
      <c r="AQ11" s="1"/>
      <c r="AR11" s="1"/>
      <c r="AS11" s="1"/>
      <c r="AT11" s="1"/>
      <c r="AU11" s="1"/>
      <c r="AV11" s="1"/>
      <c r="AW11" s="1"/>
      <c r="AX11" s="1"/>
    </row>
    <row r="12" spans="1:50" x14ac:dyDescent="0.45">
      <c r="B12" s="12" t="s">
        <v>226</v>
      </c>
      <c r="C12" s="68" cm="1">
        <f t="array" ref="C12">INDEX(딜러데이터!$58:$58, 1, MATCH(메인!$F$4, 딜러데이터!$1:$1, 0)+C$8)</f>
        <v>0</v>
      </c>
      <c r="D12" s="68" cm="1">
        <f t="array" ref="D12">INDEX(딜러데이터!$58:$58, 1, MATCH(메인!$F$4, 딜러데이터!$1:$1, 0)+D$8)</f>
        <v>0</v>
      </c>
      <c r="E12" s="68" cm="1">
        <f t="array" ref="E12">INDEX(딜러데이터!$58:$58, 1, MATCH(메인!$F$4, 딜러데이터!$1:$1, 0)+E$8)</f>
        <v>1</v>
      </c>
      <c r="F12" s="68" cm="1">
        <f t="array" ref="F12">INDEX(딜러데이터!$58:$58, 1, MATCH(메인!$F$4, 딜러데이터!$1:$1, 0)+F$8)</f>
        <v>1</v>
      </c>
      <c r="G12" s="68" cm="1">
        <f t="array" ref="G12">INDEX(딜러데이터!$58:$58, 1, MATCH(메인!$F$4, 딜러데이터!$1:$1, 0)+G$8)</f>
        <v>0</v>
      </c>
      <c r="H12" s="68" cm="1">
        <f t="array" ref="H12">INDEX(딜러데이터!$58:$58, 1, MATCH(메인!$F$4, 딜러데이터!$1:$1, 0)+H$8)</f>
        <v>0</v>
      </c>
      <c r="I12" s="68" cm="1">
        <f t="array" ref="I12">INDEX(딜러데이터!$58:$58, 1, MATCH(메인!$F$4, 딜러데이터!$1:$1, 0)+I$8)</f>
        <v>1</v>
      </c>
      <c r="J12" s="68" cm="1">
        <f t="array" ref="J12">INDEX(딜러데이터!$58:$58, 1, MATCH(메인!$F$4, 딜러데이터!$1:$1, 0)+J$8)</f>
        <v>1</v>
      </c>
      <c r="K12" s="68" cm="1">
        <f t="array" ref="K12">INDEX(딜러데이터!$58:$58, 1, MATCH(메인!$F$4, 딜러데이터!$1:$1, 0)+K$8)</f>
        <v>0</v>
      </c>
      <c r="L12" s="68" cm="1">
        <f t="array" ref="L12">INDEX(딜러데이터!$58:$58, 1, MATCH(메인!$F$4, 딜러데이터!$1:$1, 0)+L$8)</f>
        <v>0</v>
      </c>
      <c r="M12" s="227" cm="1">
        <f t="array" ref="M12">INDEX(딜러데이터!$71:$71, 1, MATCH(메인!$F$4, 딜러데이터!$1:$1, 0)+M$8)</f>
        <v>0</v>
      </c>
      <c r="N12" s="68" cm="1">
        <f t="array" ref="N12">INDEX(딜러데이터!$71:$71, 1, MATCH(메인!$F$4, 딜러데이터!$1:$1, 0)+N$8)</f>
        <v>1</v>
      </c>
      <c r="O12" s="68" cm="1">
        <f t="array" ref="O12">INDEX(딜러데이터!$71:$71, 1, MATCH(메인!$F$4, 딜러데이터!$1:$1, 0)+O$8)</f>
        <v>1</v>
      </c>
      <c r="P12" s="68" cm="1">
        <f t="array" ref="P12">INDEX(딜러데이터!$71:$71, 1, MATCH(메인!$F$4, 딜러데이터!$1:$1, 0)+P$8)</f>
        <v>0</v>
      </c>
      <c r="Q12" s="68" cm="1">
        <f t="array" ref="Q12">INDEX(딜러데이터!$71:$71, 1, MATCH(메인!$F$4, 딜러데이터!$1:$1, 0)+Q$8)</f>
        <v>0</v>
      </c>
      <c r="R12" s="68" cm="1">
        <f t="array" ref="R12">INDEX(딜러데이터!$71:$71, 1, MATCH(메인!$F$4, 딜러데이터!$1:$1, 0)+R$8)</f>
        <v>1</v>
      </c>
      <c r="S12" s="68" cm="1">
        <f t="array" ref="S12">INDEX(딜러데이터!$71:$71, 1, MATCH(메인!$F$4, 딜러데이터!$1:$1, 0)+S$8)</f>
        <v>1</v>
      </c>
      <c r="T12" s="68" cm="1">
        <f t="array" ref="T12">INDEX(딜러데이터!$71:$71, 1, MATCH(메인!$F$4, 딜러데이터!$1:$1, 0)+T$8)</f>
        <v>0</v>
      </c>
      <c r="U12" s="68" cm="1">
        <f t="array" ref="U12">INDEX(딜러데이터!$71:$71, 1, MATCH(메인!$F$4, 딜러데이터!$1:$1, 0)+U$8)</f>
        <v>0</v>
      </c>
      <c r="AL12" s="1"/>
      <c r="AM12" s="1"/>
      <c r="AN12" s="1"/>
      <c r="AO12" s="1"/>
      <c r="AP12" s="1"/>
      <c r="AQ12" s="1"/>
      <c r="AR12" s="1"/>
      <c r="AS12" s="1"/>
      <c r="AT12" s="1"/>
      <c r="AU12" s="1"/>
      <c r="AV12" s="1"/>
      <c r="AW12" s="1"/>
      <c r="AX12" s="1"/>
    </row>
    <row r="13" spans="1:50" x14ac:dyDescent="0.45">
      <c r="B13" s="12" t="s">
        <v>227</v>
      </c>
      <c r="C13" s="70" t="e">
        <f>MIN(1,버프정리!$D$29+버프정리!$D$28/C12)</f>
        <v>#DIV/0!</v>
      </c>
      <c r="D13" s="70" t="e">
        <f>MIN(1,버프정리!$D$29+버프정리!$D$28/D12)</f>
        <v>#DIV/0!</v>
      </c>
      <c r="E13" s="70">
        <f>MIN(1,버프정리!$D$29+버프정리!$D$28/E12)</f>
        <v>1</v>
      </c>
      <c r="F13" s="70">
        <f>MIN(1,버프정리!$D$29+버프정리!$D$28/F12)</f>
        <v>1</v>
      </c>
      <c r="G13" s="70" t="e">
        <f>MIN(1,버프정리!$D$29+버프정리!$D$28/G12)</f>
        <v>#DIV/0!</v>
      </c>
      <c r="H13" s="70" t="e">
        <f>MIN(1,버프정리!$D$29+버프정리!$D$28/H12)</f>
        <v>#DIV/0!</v>
      </c>
      <c r="I13" s="70">
        <f>MIN(1,버프정리!$D$29+버프정리!$D$28/I12)</f>
        <v>1</v>
      </c>
      <c r="J13" s="70">
        <f>MIN(1,버프정리!$D$29+버프정리!$D$28/J12)</f>
        <v>1</v>
      </c>
      <c r="K13" s="70" t="e">
        <f>MIN(1,버프정리!$D$29+버프정리!$D$28/K12)</f>
        <v>#DIV/0!</v>
      </c>
      <c r="L13" s="70" t="e">
        <f>MIN(1,버프정리!$D$29+버프정리!$D$28/L12)</f>
        <v>#DIV/0!</v>
      </c>
      <c r="M13" s="70" t="e">
        <f>MIN(1,버프정리!$D$29+버프정리!$D$28/M12)</f>
        <v>#DIV/0!</v>
      </c>
      <c r="N13" s="70">
        <f>MIN(1,버프정리!$D$29+버프정리!$D$28/N12)</f>
        <v>1</v>
      </c>
      <c r="O13" s="70">
        <f>MIN(1,버프정리!$D$29+버프정리!$D$28/O12)</f>
        <v>1</v>
      </c>
      <c r="P13" s="70" t="e">
        <f>MIN(1,버프정리!$D$29+버프정리!$D$28/P12)</f>
        <v>#DIV/0!</v>
      </c>
      <c r="Q13" s="70" t="e">
        <f>MIN(1,버프정리!$D$29+버프정리!$D$28/Q12)</f>
        <v>#DIV/0!</v>
      </c>
      <c r="R13" s="70">
        <f>MIN(1,버프정리!$D$29+버프정리!$D$28/R12)</f>
        <v>1</v>
      </c>
      <c r="S13" s="70">
        <f>MIN(1,버프정리!$D$29+버프정리!$D$28/S12)</f>
        <v>1</v>
      </c>
      <c r="T13" s="70" t="e">
        <f>MIN(1,버프정리!$D$29+버프정리!$D$28/T12)</f>
        <v>#DIV/0!</v>
      </c>
      <c r="U13" s="70" t="e">
        <f>MIN(1,버프정리!$D$29+버프정리!$D$28/U12)</f>
        <v>#DIV/0!</v>
      </c>
      <c r="AL13" s="1"/>
      <c r="AM13" s="1"/>
      <c r="AN13" s="1"/>
      <c r="AO13" s="1"/>
      <c r="AP13" s="1"/>
      <c r="AQ13" s="1"/>
      <c r="AR13" s="1"/>
      <c r="AS13" s="1"/>
      <c r="AT13" s="1"/>
      <c r="AU13" s="1"/>
      <c r="AV13" s="1"/>
      <c r="AW13" s="1"/>
      <c r="AX13" s="1"/>
    </row>
    <row r="14" spans="1:50" x14ac:dyDescent="0.45">
      <c r="B14" s="12" t="s">
        <v>228</v>
      </c>
      <c r="C14" s="67" cm="1">
        <f t="array" ref="C14">INDEX(딜러데이터!$59:$59, 1, MATCH(메인!$F$4, 딜러데이터!$1:$1, 0)+C$8)</f>
        <v>0</v>
      </c>
      <c r="D14" s="67" cm="1">
        <f t="array" ref="D14">INDEX(딜러데이터!$59:$59, 1, MATCH(메인!$F$4, 딜러데이터!$1:$1, 0)+D$8)</f>
        <v>0</v>
      </c>
      <c r="E14" s="67" cm="1">
        <f t="array" ref="E14">INDEX(딜러데이터!$59:$59, 1, MATCH(메인!$F$4, 딜러데이터!$1:$1, 0)+E$8)</f>
        <v>0.33</v>
      </c>
      <c r="F14" s="67" cm="1">
        <f t="array" ref="F14">INDEX(딜러데이터!$59:$59, 1, MATCH(메인!$F$4, 딜러데이터!$1:$1, 0)+F$8)</f>
        <v>0.33</v>
      </c>
      <c r="G14" s="67" cm="1">
        <f t="array" ref="G14">INDEX(딜러데이터!$59:$59, 1, MATCH(메인!$F$4, 딜러데이터!$1:$1, 0)+G$8)</f>
        <v>0</v>
      </c>
      <c r="H14" s="67" cm="1">
        <f t="array" ref="H14">INDEX(딜러데이터!$59:$59, 1, MATCH(메인!$F$4, 딜러데이터!$1:$1, 0)+H$8)</f>
        <v>0</v>
      </c>
      <c r="I14" s="67" cm="1">
        <f t="array" ref="I14">INDEX(딜러데이터!$59:$59, 1, MATCH(메인!$F$4, 딜러데이터!$1:$1, 0)+I$8)</f>
        <v>0.33</v>
      </c>
      <c r="J14" s="67" cm="1">
        <f t="array" ref="J14">INDEX(딜러데이터!$59:$59, 1, MATCH(메인!$F$4, 딜러데이터!$1:$1, 0)+J$8)</f>
        <v>0.33</v>
      </c>
      <c r="K14" s="67" cm="1">
        <f t="array" ref="K14">INDEX(딜러데이터!$59:$59, 1, MATCH(메인!$F$4, 딜러데이터!$1:$1, 0)+K$8)</f>
        <v>0</v>
      </c>
      <c r="L14" s="67" cm="1">
        <f t="array" ref="L14">INDEX(딜러데이터!$59:$59, 1, MATCH(메인!$F$4, 딜러데이터!$1:$1, 0)+L$8)</f>
        <v>0</v>
      </c>
      <c r="M14" s="228" cm="1">
        <f t="array" ref="M14">INDEX(딜러데이터!$72:$72, 1, MATCH(메인!$F$4, 딜러데이터!$1:$1, 0)+M$8)</f>
        <v>0</v>
      </c>
      <c r="N14" s="67" cm="1">
        <f t="array" ref="N14">INDEX(딜러데이터!$72:$72, 1, MATCH(메인!$F$4, 딜러데이터!$1:$1, 0)+N$8)</f>
        <v>0.33</v>
      </c>
      <c r="O14" s="67" cm="1">
        <f t="array" ref="O14">INDEX(딜러데이터!$72:$72, 1, MATCH(메인!$F$4, 딜러데이터!$1:$1, 0)+O$8)</f>
        <v>0.33</v>
      </c>
      <c r="P14" s="67" cm="1">
        <f t="array" ref="P14">INDEX(딜러데이터!$72:$72, 1, MATCH(메인!$F$4, 딜러데이터!$1:$1, 0)+P$8)</f>
        <v>0</v>
      </c>
      <c r="Q14" s="67" cm="1">
        <f t="array" ref="Q14">INDEX(딜러데이터!$72:$72, 1, MATCH(메인!$F$4, 딜러데이터!$1:$1, 0)+Q$8)</f>
        <v>0</v>
      </c>
      <c r="R14" s="67" cm="1">
        <f t="array" ref="R14">INDEX(딜러데이터!$72:$72, 1, MATCH(메인!$F$4, 딜러데이터!$1:$1, 0)+R$8)</f>
        <v>0.33</v>
      </c>
      <c r="S14" s="67" cm="1">
        <f t="array" ref="S14">INDEX(딜러데이터!$72:$72, 1, MATCH(메인!$F$4, 딜러데이터!$1:$1, 0)+S$8)</f>
        <v>0.33</v>
      </c>
      <c r="T14" s="67" cm="1">
        <f t="array" ref="T14">INDEX(딜러데이터!$72:$72, 1, MATCH(메인!$F$4, 딜러데이터!$1:$1, 0)+T$8)</f>
        <v>0</v>
      </c>
      <c r="U14" s="67" cm="1">
        <f t="array" ref="U14">INDEX(딜러데이터!$72:$72, 1, MATCH(메인!$F$4, 딜러데이터!$1:$1, 0)+U$8)</f>
        <v>0</v>
      </c>
      <c r="AL14" s="1"/>
      <c r="AM14" s="1"/>
      <c r="AN14" s="1"/>
      <c r="AO14" s="1"/>
      <c r="AP14" s="1"/>
      <c r="AQ14" s="1"/>
      <c r="AR14" s="1"/>
      <c r="AS14" s="1"/>
      <c r="AT14" s="1"/>
      <c r="AU14" s="1"/>
      <c r="AV14" s="1"/>
      <c r="AW14" s="1"/>
      <c r="AX14" s="1"/>
    </row>
    <row r="15" spans="1:50" x14ac:dyDescent="0.45">
      <c r="A15" t="s">
        <v>229</v>
      </c>
      <c r="B15" s="269" t="s">
        <v>230</v>
      </c>
      <c r="C15" s="66" t="str" cm="1">
        <f t="array" ref="C15">INDEX(딜러데이터!62:62, 1, MATCH(메인!$F$4, 딜러데이터!$1:$1, 0)+C$8)</f>
        <v>스킬</v>
      </c>
      <c r="D15" s="66" t="str" cm="1">
        <f t="array" ref="D15">INDEX(딜러데이터!62:62, 1, MATCH(메인!$F$4, 딜러데이터!$1:$1, 0)+D$8)</f>
        <v>스킬</v>
      </c>
      <c r="E15" s="66" t="str" cm="1">
        <f t="array" ref="E15">INDEX(딜러데이터!62:62, 1, MATCH(메인!$F$4, 딜러데이터!$1:$1, 0)+E$8)</f>
        <v>RL</v>
      </c>
      <c r="F15" s="66" t="str" cm="1">
        <f t="array" ref="F15">INDEX(딜러데이터!62:62, 1, MATCH(메인!$F$4, 딜러데이터!$1:$1, 0)+F$8)</f>
        <v>스킬</v>
      </c>
      <c r="G15" s="66" cm="1">
        <f t="array" ref="G15">INDEX(딜러데이터!62:62, 1, MATCH(메인!$F$4, 딜러데이터!$1:$1, 0)+G$8)</f>
        <v>0</v>
      </c>
      <c r="H15" s="66" cm="1">
        <f t="array" ref="H15">INDEX(딜러데이터!62:62, 1, MATCH(메인!$F$4, 딜러데이터!$1:$1, 0)+H$8)</f>
        <v>0</v>
      </c>
      <c r="I15" s="66" t="str" cm="1">
        <f t="array" ref="I15">INDEX(딜러데이터!62:62, 1, MATCH(메인!$F$4, 딜러데이터!$1:$1, 0)+I$8)</f>
        <v>RL</v>
      </c>
      <c r="J15" s="66" t="str" cm="1">
        <f t="array" ref="J15">INDEX(딜러데이터!62:62, 1, MATCH(메인!$F$4, 딜러데이터!$1:$1, 0)+J$8)</f>
        <v>스킬</v>
      </c>
      <c r="K15" s="66" cm="1">
        <f t="array" ref="K15">INDEX(딜러데이터!62:62, 1, MATCH(메인!$F$4, 딜러데이터!$1:$1, 0)+K$8)</f>
        <v>0</v>
      </c>
      <c r="L15" s="66" cm="1">
        <f t="array" ref="L15">INDEX(딜러데이터!62:62, 1, MATCH(메인!$F$4, 딜러데이터!$1:$1, 0)+L$8)</f>
        <v>0</v>
      </c>
      <c r="M15" s="66" cm="1">
        <f t="array" ref="M15">INDEX(딜러데이터!75:75, 1, MATCH(메인!$F$4, 딜러데이터!$1:$1, 0)+M$8)</f>
        <v>0</v>
      </c>
      <c r="N15" s="66" t="str" cm="1">
        <f t="array" ref="N15">INDEX(딜러데이터!75:75, 1, MATCH(메인!$F$4, 딜러데이터!$1:$1, 0)+N$8)</f>
        <v>RL</v>
      </c>
      <c r="O15" s="66" t="str" cm="1">
        <f t="array" ref="O15">INDEX(딜러데이터!75:75, 1, MATCH(메인!$F$4, 딜러데이터!$1:$1, 0)+O$8)</f>
        <v>스킬</v>
      </c>
      <c r="P15" s="66" cm="1">
        <f t="array" ref="P15">INDEX(딜러데이터!75:75, 1, MATCH(메인!$F$4, 딜러데이터!$1:$1, 0)+P$8)</f>
        <v>0</v>
      </c>
      <c r="Q15" s="66" cm="1">
        <f t="array" ref="Q15">INDEX(딜러데이터!75:75, 1, MATCH(메인!$F$4, 딜러데이터!$1:$1, 0)+Q$8)</f>
        <v>0</v>
      </c>
      <c r="R15" s="66" t="str" cm="1">
        <f t="array" ref="R15">INDEX(딜러데이터!75:75, 1, MATCH(메인!$F$4, 딜러데이터!$1:$1, 0)+R$8)</f>
        <v>RL</v>
      </c>
      <c r="S15" s="66" t="str" cm="1">
        <f t="array" ref="S15">INDEX(딜러데이터!75:75, 1, MATCH(메인!$F$4, 딜러데이터!$1:$1, 0)+S$8)</f>
        <v>스킬</v>
      </c>
      <c r="T15" s="66" cm="1">
        <f t="array" ref="T15">INDEX(딜러데이터!75:75, 1, MATCH(메인!$F$4, 딜러데이터!$1:$1, 0)+T$8)</f>
        <v>0</v>
      </c>
      <c r="U15" s="66" cm="1">
        <f t="array" ref="U15">INDEX(딜러데이터!75:75, 1, MATCH(메인!$F$4, 딜러데이터!$1:$1, 0)+U$8)</f>
        <v>0</v>
      </c>
      <c r="AL15" s="1"/>
      <c r="AM15" s="1"/>
      <c r="AN15" s="1"/>
      <c r="AO15" s="1"/>
      <c r="AP15" s="1"/>
      <c r="AQ15" s="1"/>
      <c r="AR15" s="1"/>
      <c r="AS15" s="1"/>
      <c r="AT15" s="1"/>
      <c r="AU15" s="1"/>
      <c r="AV15" s="1"/>
      <c r="AW15" s="1"/>
      <c r="AX15" s="1"/>
    </row>
    <row r="16" spans="1:50" x14ac:dyDescent="0.45">
      <c r="A16" t="s">
        <v>231</v>
      </c>
      <c r="B16" s="269"/>
      <c r="C16" s="66" cm="1">
        <f t="array" ref="C16">INDEX(딜러데이터!63:63, 1, MATCH(메인!$F$4, 딜러데이터!$1:$1, 0)+C$8)</f>
        <v>0</v>
      </c>
      <c r="D16" s="66" cm="1">
        <f t="array" ref="D16">INDEX(딜러데이터!63:63, 1, MATCH(메인!$F$4, 딜러데이터!$1:$1, 0)+D$8)</f>
        <v>0</v>
      </c>
      <c r="E16" s="66" t="str" cm="1">
        <f t="array" ref="E16">INDEX(딜러데이터!63:63, 1, MATCH(메인!$F$4, 딜러데이터!$1:$1, 0)+E$8)</f>
        <v>차지</v>
      </c>
      <c r="F16" s="66" cm="1">
        <f t="array" ref="F16">INDEX(딜러데이터!63:63, 1, MATCH(메인!$F$4, 딜러데이터!$1:$1, 0)+F$8)</f>
        <v>0</v>
      </c>
      <c r="G16" s="66" cm="1">
        <f t="array" ref="G16">INDEX(딜러데이터!63:63, 1, MATCH(메인!$F$4, 딜러데이터!$1:$1, 0)+G$8)</f>
        <v>0</v>
      </c>
      <c r="H16" s="66" cm="1">
        <f t="array" ref="H16">INDEX(딜러데이터!63:63, 1, MATCH(메인!$F$4, 딜러데이터!$1:$1, 0)+H$8)</f>
        <v>0</v>
      </c>
      <c r="I16" s="66" t="str" cm="1">
        <f t="array" ref="I16">INDEX(딜러데이터!63:63, 1, MATCH(메인!$F$4, 딜러데이터!$1:$1, 0)+I$8)</f>
        <v>차지</v>
      </c>
      <c r="J16" s="66" cm="1">
        <f t="array" ref="J16">INDEX(딜러데이터!63:63, 1, MATCH(메인!$F$4, 딜러데이터!$1:$1, 0)+J$8)</f>
        <v>0</v>
      </c>
      <c r="K16" s="66" cm="1">
        <f t="array" ref="K16">INDEX(딜러데이터!63:63, 1, MATCH(메인!$F$4, 딜러데이터!$1:$1, 0)+K$8)</f>
        <v>0</v>
      </c>
      <c r="L16" s="66" cm="1">
        <f t="array" ref="L16">INDEX(딜러데이터!63:63, 1, MATCH(메인!$F$4, 딜러데이터!$1:$1, 0)+L$8)</f>
        <v>0</v>
      </c>
      <c r="M16" s="66" cm="1">
        <f t="array" ref="M16">INDEX(딜러데이터!76:76, 1, MATCH(메인!$F$4, 딜러데이터!$1:$1, 0)+M$8)</f>
        <v>0</v>
      </c>
      <c r="N16" s="66" t="str" cm="1">
        <f t="array" ref="N16">INDEX(딜러데이터!76:76, 1, MATCH(메인!$F$4, 딜러데이터!$1:$1, 0)+N$8)</f>
        <v>차지</v>
      </c>
      <c r="O16" s="66" cm="1">
        <f t="array" ref="O16">INDEX(딜러데이터!76:76, 1, MATCH(메인!$F$4, 딜러데이터!$1:$1, 0)+O$8)</f>
        <v>0</v>
      </c>
      <c r="P16" s="66" cm="1">
        <f t="array" ref="P16">INDEX(딜러데이터!76:76, 1, MATCH(메인!$F$4, 딜러데이터!$1:$1, 0)+P$8)</f>
        <v>0</v>
      </c>
      <c r="Q16" s="66" cm="1">
        <f t="array" ref="Q16">INDEX(딜러데이터!76:76, 1, MATCH(메인!$F$4, 딜러데이터!$1:$1, 0)+Q$8)</f>
        <v>0</v>
      </c>
      <c r="R16" s="66" t="str" cm="1">
        <f t="array" ref="R16">INDEX(딜러데이터!76:76, 1, MATCH(메인!$F$4, 딜러데이터!$1:$1, 0)+R$8)</f>
        <v>차지</v>
      </c>
      <c r="S16" s="66" cm="1">
        <f t="array" ref="S16">INDEX(딜러데이터!76:76, 1, MATCH(메인!$F$4, 딜러데이터!$1:$1, 0)+S$8)</f>
        <v>0</v>
      </c>
      <c r="T16" s="66" cm="1">
        <f t="array" ref="T16">INDEX(딜러데이터!76:76, 1, MATCH(메인!$F$4, 딜러데이터!$1:$1, 0)+T$8)</f>
        <v>0</v>
      </c>
      <c r="U16" s="66" cm="1">
        <f t="array" ref="U16">INDEX(딜러데이터!76:76, 1, MATCH(메인!$F$4, 딜러데이터!$1:$1, 0)+U$8)</f>
        <v>0</v>
      </c>
      <c r="AL16" s="1"/>
      <c r="AM16" s="1"/>
      <c r="AN16" s="1"/>
      <c r="AO16" s="1"/>
      <c r="AP16" s="1"/>
      <c r="AQ16" s="1"/>
      <c r="AR16" s="1"/>
      <c r="AS16" s="1"/>
      <c r="AT16" s="1"/>
      <c r="AU16" s="1"/>
      <c r="AV16" s="1"/>
      <c r="AW16" s="1"/>
      <c r="AX16" s="1"/>
    </row>
    <row r="17" spans="1:50" x14ac:dyDescent="0.45">
      <c r="B17" s="269"/>
      <c r="C17" s="66" cm="1">
        <f t="array" ref="C17">INDEX(딜러데이터!64:64, 1, MATCH(메인!$F$4, 딜러데이터!$1:$1, 0)+C$8)</f>
        <v>0</v>
      </c>
      <c r="D17" s="66" cm="1">
        <f t="array" ref="D17">INDEX(딜러데이터!64:64, 1, MATCH(메인!$F$4, 딜러데이터!$1:$1, 0)+D$8)</f>
        <v>0</v>
      </c>
      <c r="E17" s="66" t="str" cm="1">
        <f t="array" ref="E17">INDEX(딜러데이터!64:64, 1, MATCH(메인!$F$4, 딜러데이터!$1:$1, 0)+E$8)</f>
        <v>발사체폭발</v>
      </c>
      <c r="F17" s="66" cm="1">
        <f t="array" ref="F17">INDEX(딜러데이터!64:64, 1, MATCH(메인!$F$4, 딜러데이터!$1:$1, 0)+F$8)</f>
        <v>0</v>
      </c>
      <c r="G17" s="66" cm="1">
        <f t="array" ref="G17">INDEX(딜러데이터!64:64, 1, MATCH(메인!$F$4, 딜러데이터!$1:$1, 0)+G$8)</f>
        <v>0</v>
      </c>
      <c r="H17" s="66" cm="1">
        <f t="array" ref="H17">INDEX(딜러데이터!64:64, 1, MATCH(메인!$F$4, 딜러데이터!$1:$1, 0)+H$8)</f>
        <v>0</v>
      </c>
      <c r="I17" s="66" t="str" cm="1">
        <f t="array" ref="I17">INDEX(딜러데이터!64:64, 1, MATCH(메인!$F$4, 딜러데이터!$1:$1, 0)+I$8)</f>
        <v>발사체폭발</v>
      </c>
      <c r="J17" s="66" cm="1">
        <f t="array" ref="J17">INDEX(딜러데이터!64:64, 1, MATCH(메인!$F$4, 딜러데이터!$1:$1, 0)+J$8)</f>
        <v>0</v>
      </c>
      <c r="K17" s="66" cm="1">
        <f t="array" ref="K17">INDEX(딜러데이터!64:64, 1, MATCH(메인!$F$4, 딜러데이터!$1:$1, 0)+K$8)</f>
        <v>0</v>
      </c>
      <c r="L17" s="66" cm="1">
        <f t="array" ref="L17">INDEX(딜러데이터!64:64, 1, MATCH(메인!$F$4, 딜러데이터!$1:$1, 0)+L$8)</f>
        <v>0</v>
      </c>
      <c r="M17" s="66" cm="1">
        <f t="array" ref="M17">INDEX(딜러데이터!77:77, 1, MATCH(메인!$F$4, 딜러데이터!$1:$1, 0)+M$8)</f>
        <v>0</v>
      </c>
      <c r="N17" s="66" t="str" cm="1">
        <f t="array" ref="N17">INDEX(딜러데이터!77:77, 1, MATCH(메인!$F$4, 딜러데이터!$1:$1, 0)+N$8)</f>
        <v>발사체폭발</v>
      </c>
      <c r="O17" s="66" cm="1">
        <f t="array" ref="O17">INDEX(딜러데이터!77:77, 1, MATCH(메인!$F$4, 딜러데이터!$1:$1, 0)+O$8)</f>
        <v>0</v>
      </c>
      <c r="P17" s="66" cm="1">
        <f t="array" ref="P17">INDEX(딜러데이터!77:77, 1, MATCH(메인!$F$4, 딜러데이터!$1:$1, 0)+P$8)</f>
        <v>0</v>
      </c>
      <c r="Q17" s="66" cm="1">
        <f t="array" ref="Q17">INDEX(딜러데이터!77:77, 1, MATCH(메인!$F$4, 딜러데이터!$1:$1, 0)+Q$8)</f>
        <v>0</v>
      </c>
      <c r="R17" s="66" t="str" cm="1">
        <f t="array" ref="R17">INDEX(딜러데이터!77:77, 1, MATCH(메인!$F$4, 딜러데이터!$1:$1, 0)+R$8)</f>
        <v>발사체폭발</v>
      </c>
      <c r="S17" s="66" cm="1">
        <f t="array" ref="S17">INDEX(딜러데이터!77:77, 1, MATCH(메인!$F$4, 딜러데이터!$1:$1, 0)+S$8)</f>
        <v>0</v>
      </c>
      <c r="T17" s="66" cm="1">
        <f t="array" ref="T17">INDEX(딜러데이터!77:77, 1, MATCH(메인!$F$4, 딜러데이터!$1:$1, 0)+T$8)</f>
        <v>0</v>
      </c>
      <c r="U17" s="66" cm="1">
        <f t="array" ref="U17">INDEX(딜러데이터!77:77, 1, MATCH(메인!$F$4, 딜러데이터!$1:$1, 0)+U$8)</f>
        <v>0</v>
      </c>
      <c r="AL17" s="1"/>
      <c r="AM17" s="1"/>
      <c r="AN17" s="1"/>
      <c r="AO17" s="1"/>
      <c r="AP17" s="1"/>
      <c r="AQ17" s="1"/>
      <c r="AR17" s="1"/>
      <c r="AS17" s="1"/>
      <c r="AT17" s="1"/>
      <c r="AU17" s="1"/>
      <c r="AV17" s="1"/>
      <c r="AW17" s="1"/>
      <c r="AX17" s="1"/>
    </row>
    <row r="18" spans="1:50" x14ac:dyDescent="0.45">
      <c r="B18" s="269"/>
      <c r="C18" s="66" cm="1">
        <f t="array" ref="C18">INDEX(딜러데이터!65:65, 1, MATCH(메인!$F$4, 딜러데이터!$1:$1, 0)+C$8)</f>
        <v>0</v>
      </c>
      <c r="D18" s="66" cm="1">
        <f t="array" ref="D18">INDEX(딜러데이터!65:65, 1, MATCH(메인!$F$4, 딜러데이터!$1:$1, 0)+D$8)</f>
        <v>0</v>
      </c>
      <c r="E18" s="66" cm="1">
        <f t="array" ref="E18">INDEX(딜러데이터!65:65, 1, MATCH(메인!$F$4, 딜러데이터!$1:$1, 0)+E$8)</f>
        <v>0</v>
      </c>
      <c r="F18" s="66" t="str" cm="1">
        <f t="array" ref="F18">INDEX(딜러데이터!65:65, 1, MATCH(메인!$F$4, 딜러데이터!$1:$1, 0)+F$8)</f>
        <v>풀차지</v>
      </c>
      <c r="G18" s="66" cm="1">
        <f t="array" ref="G18">INDEX(딜러데이터!65:65, 1, MATCH(메인!$F$4, 딜러데이터!$1:$1, 0)+G$8)</f>
        <v>0</v>
      </c>
      <c r="H18" s="66" cm="1">
        <f t="array" ref="H18">INDEX(딜러데이터!65:65, 1, MATCH(메인!$F$4, 딜러데이터!$1:$1, 0)+H$8)</f>
        <v>0</v>
      </c>
      <c r="I18" s="66" cm="1">
        <f t="array" ref="I18">INDEX(딜러데이터!65:65, 1, MATCH(메인!$F$4, 딜러데이터!$1:$1, 0)+I$8)</f>
        <v>0</v>
      </c>
      <c r="J18" s="66" t="str" cm="1">
        <f t="array" ref="J18">INDEX(딜러데이터!65:65, 1, MATCH(메인!$F$4, 딜러데이터!$1:$1, 0)+J$8)</f>
        <v>풀차지</v>
      </c>
      <c r="K18" s="66" cm="1">
        <f t="array" ref="K18">INDEX(딜러데이터!65:65, 1, MATCH(메인!$F$4, 딜러데이터!$1:$1, 0)+K$8)</f>
        <v>0</v>
      </c>
      <c r="L18" s="66" cm="1">
        <f t="array" ref="L18">INDEX(딜러데이터!65:65, 1, MATCH(메인!$F$4, 딜러데이터!$1:$1, 0)+L$8)</f>
        <v>0</v>
      </c>
      <c r="M18" s="66" cm="1">
        <f t="array" ref="M18">INDEX(딜러데이터!78:78, 1, MATCH(메인!$F$4, 딜러데이터!$1:$1, 0)+M$8)</f>
        <v>0</v>
      </c>
      <c r="N18" s="66" cm="1">
        <f t="array" ref="N18">INDEX(딜러데이터!78:78, 1, MATCH(메인!$F$4, 딜러데이터!$1:$1, 0)+N$8)</f>
        <v>0</v>
      </c>
      <c r="O18" s="66" t="str" cm="1">
        <f t="array" ref="O18">INDEX(딜러데이터!78:78, 1, MATCH(메인!$F$4, 딜러데이터!$1:$1, 0)+O$8)</f>
        <v>풀차지</v>
      </c>
      <c r="P18" s="66" cm="1">
        <f t="array" ref="P18">INDEX(딜러데이터!78:78, 1, MATCH(메인!$F$4, 딜러데이터!$1:$1, 0)+P$8)</f>
        <v>0</v>
      </c>
      <c r="Q18" s="66" cm="1">
        <f t="array" ref="Q18">INDEX(딜러데이터!78:78, 1, MATCH(메인!$F$4, 딜러데이터!$1:$1, 0)+Q$8)</f>
        <v>0</v>
      </c>
      <c r="R18" s="66" cm="1">
        <f t="array" ref="R18">INDEX(딜러데이터!78:78, 1, MATCH(메인!$F$4, 딜러데이터!$1:$1, 0)+R$8)</f>
        <v>0</v>
      </c>
      <c r="S18" s="66" t="str" cm="1">
        <f t="array" ref="S18">INDEX(딜러데이터!78:78, 1, MATCH(메인!$F$4, 딜러데이터!$1:$1, 0)+S$8)</f>
        <v>풀차지</v>
      </c>
      <c r="T18" s="66" cm="1">
        <f t="array" ref="T18">INDEX(딜러데이터!78:78, 1, MATCH(메인!$F$4, 딜러데이터!$1:$1, 0)+T$8)</f>
        <v>0</v>
      </c>
      <c r="U18" s="66" cm="1">
        <f t="array" ref="U18">INDEX(딜러데이터!78:78, 1, MATCH(메인!$F$4, 딜러데이터!$1:$1, 0)+U$8)</f>
        <v>0</v>
      </c>
      <c r="AL18" s="1"/>
      <c r="AM18" s="1"/>
      <c r="AN18" s="1"/>
      <c r="AO18" s="1"/>
      <c r="AP18" s="1"/>
      <c r="AQ18" s="1"/>
      <c r="AR18" s="1"/>
      <c r="AS18" s="1"/>
      <c r="AT18" s="1"/>
      <c r="AU18" s="1"/>
      <c r="AV18" s="1"/>
      <c r="AW18" s="1"/>
      <c r="AX18" s="1"/>
    </row>
    <row r="19" spans="1:50" x14ac:dyDescent="0.45">
      <c r="B19" s="9" t="s">
        <v>232</v>
      </c>
      <c r="C19" s="10">
        <f>MAX(1,PRODUCT(C21:C25)*IF(COUNTIF(니케스팩!$M:$M, C15), C26, C28)*IF(C16="차지", C29, 1))</f>
        <v>7005209.2509895517</v>
      </c>
      <c r="D19" s="10">
        <f>MAX(1,PRODUCT(D21:D25)*IF(COUNTIF(니케스팩!$M:$M, D15), D26, D28)*IF(D16="차지", D29, 1))</f>
        <v>3478577.8681518901</v>
      </c>
      <c r="E19" s="10">
        <f>MAX(1,PRODUCT(E21:E25)*IF(COUNTIF(니케스팩!$M:$M, E15), E26, E28)*IF(E16="차지", E29, 1))</f>
        <v>1140586.9177161301</v>
      </c>
      <c r="F19" s="10">
        <f>MAX(1,PRODUCT(F21:F25)*IF(COUNTIF(니케스팩!$M:$M, F15), F26, F28)*IF(F16="차지", F29, 1))</f>
        <v>1370166.4843989278</v>
      </c>
      <c r="G19" s="10">
        <f>MAX(1,PRODUCT(G21:G25)*IF(COUNTIF(니케스팩!$M:$M, G15), G26, G28)*IF(G16="차지", G29, 1))</f>
        <v>1</v>
      </c>
      <c r="H19" s="10">
        <f>MAX(1,PRODUCT(H21:H25)*IF(COUNTIF(니케스팩!$M:$M, H15), H26, H28)*IF(H16="차지", H29, 1))</f>
        <v>1</v>
      </c>
      <c r="I19" s="10">
        <f>MAX(1,PRODUCT(I21:I25)*IF(COUNTIF(니케스팩!$M:$M, I15), I26, I28)*IF(I16="차지", I29, 1))</f>
        <v>1022223.2257923473</v>
      </c>
      <c r="J19" s="10">
        <f>MAX(1,PRODUCT(J21:J25)*IF(COUNTIF(니케스팩!$M:$M, J15), J26, J28)*IF(J16="차지", J29, 1))</f>
        <v>1227978.3169522712</v>
      </c>
      <c r="K19" s="10">
        <f>MAX(1,PRODUCT(K21:K25)*IF(COUNTIF(니케스팩!$M:$M, K15), K26, K28)*IF(K16="차지", K29, 1))</f>
        <v>1</v>
      </c>
      <c r="L19" s="10">
        <f>MAX(1,PRODUCT(L21:L25)*IF(COUNTIF(니케스팩!$M:$M, L15), L26, L28)*IF(L16="차지", L29, 1))</f>
        <v>1</v>
      </c>
      <c r="M19" s="10">
        <f>MAX(1,PRODUCT(M21:M25)*IF(COUNTIF(니케스팩!$M:$M, M15), M26, M28)*IF(M16="차지", M29, 1))</f>
        <v>1</v>
      </c>
      <c r="N19" s="10">
        <f>MAX(1,PRODUCT(N21:N25)*IF(COUNTIF(니케스팩!$M:$M, N15), N26, N28)*IF(N16="차지", N29, 1))</f>
        <v>1459589.3240229492</v>
      </c>
      <c r="O19" s="10">
        <f>MAX(1,PRODUCT(O21:O25)*IF(COUNTIF(니케스팩!$M:$M, O15), O26, O28)*IF(O16="차지", O29, 1))</f>
        <v>1035324.836852603</v>
      </c>
      <c r="P19" s="10">
        <f>MAX(1,PRODUCT(P21:P25)*IF(COUNTIF(니케스팩!$M:$M, P15), P26, P28)*IF(P16="차지", P29, 1))</f>
        <v>1</v>
      </c>
      <c r="Q19" s="10">
        <f>MAX(1,PRODUCT(Q21:Q25)*IF(COUNTIF(니케스팩!$M:$M, Q15), Q26, Q28)*IF(Q16="차지", Q29, 1))</f>
        <v>1</v>
      </c>
      <c r="R19" s="10">
        <f>MAX(1,PRODUCT(R21:R25)*IF(COUNTIF(니케스팩!$M:$M, R15), R26, R28)*IF(R16="차지", R29, 1))</f>
        <v>796377.65739979141</v>
      </c>
      <c r="S19" s="10">
        <f>MAX(1,PRODUCT(S21:S25)*IF(COUNTIF(니케스팩!$M:$M, S15), S26, S28)*IF(S16="차지", S29, 1))</f>
        <v>917366.88852185092</v>
      </c>
      <c r="T19" s="10">
        <f>MAX(1,PRODUCT(T21:T25)*IF(COUNTIF(니케스팩!$M:$M, T15), T26, T28)*IF(T16="차지", T29, 1))</f>
        <v>1</v>
      </c>
      <c r="U19" s="10">
        <f>MAX(1,PRODUCT(U21:U25)*IF(COUNTIF(니케스팩!$M:$M, U15), U26, U28)*IF(U16="차지", U29, 1))</f>
        <v>1</v>
      </c>
      <c r="AX19" s="1"/>
    </row>
    <row r="20" spans="1:50" s="12" customFormat="1" x14ac:dyDescent="0.45">
      <c r="A20" s="12" t="s">
        <v>233</v>
      </c>
      <c r="B20" s="12" t="s">
        <v>234</v>
      </c>
      <c r="C20" s="162">
        <f>PRODUCT(C21:C25)*IF(C16="차지", C29, 1)*(1+IF(C8,0.5,0)+IF(COUNTIF(니케스팩!$M:$M, C15),IF(메인!$C$4,메인!$C$4+C54+IF(AND(COUNTIF(C15:C18,"관통"),메인!$C$5),1,0),0)+IF(메인!$C$8,0.3+C55,0),0))</f>
        <v>5324765.4558308143</v>
      </c>
      <c r="D20" s="162">
        <f>PRODUCT(D21:D25)*IF(D16="차지", D29, 1)*(1+IF(D8,0.5,0)+IF(COUNTIF(니케스팩!$M:$M, D15),IF(메인!$C$4,메인!$C$4+D54+IF(AND(COUNTIF(D15:D18,"관통"),메인!$C$5),1,0),0)+IF(메인!$C$8,0.3+D55,0),0))</f>
        <v>2873923.2026190907</v>
      </c>
      <c r="E20" s="162">
        <f>PRODUCT(E21:E25)*IF(E16="차지", E29, 1)*(1+IF(E8,0.5,0)+IF(COUNTIF(니케스팩!$M:$M, E15),IF(메인!$C$4,메인!$C$4+E54+IF(AND(COUNTIF(E15:E18,"관통"),메인!$C$5),1,0),0)+IF(메인!$C$8,0.3+E55,0),0))</f>
        <v>942327.39115588693</v>
      </c>
      <c r="F20" s="162">
        <f>PRODUCT(F21:F25)*IF(F16="차지", F29, 1)*(1+IF(F8,0.5,0)+IF(COUNTIF(니케스팩!$M:$M, F15),IF(메인!$C$4,메인!$C$4+F54+IF(AND(COUNTIF(F15:F18,"관통"),메인!$C$5),1,0),0)+IF(메인!$C$8,0.3+F55,0),0))</f>
        <v>1132000.8923811065</v>
      </c>
      <c r="G20" s="162">
        <f>PRODUCT(G21:G25)*IF(G16="차지", G29, 1)*(1+IF(G8,0.5,0)+IF(COUNTIF(니케스팩!$M:$M, G15),IF(메인!$C$4,메인!$C$4+G54+IF(AND(COUNTIF(G15:G18,"관통"),메인!$C$5),1,0),0)+IF(메인!$C$8,0.3+G55,0),0))</f>
        <v>0</v>
      </c>
      <c r="H20" s="162">
        <f>PRODUCT(H21:H25)*IF(H16="차지", H29, 1)*(1+IF(H8,0.5,0)+IF(COUNTIF(니케스팩!$M:$M, H15),IF(메인!$C$4,메인!$C$4+H54+IF(AND(COUNTIF(H15:H18,"관통"),메인!$C$5),1,0),0)+IF(메인!$C$8,0.3+H55,0),0))</f>
        <v>0</v>
      </c>
      <c r="I20" s="162">
        <f>PRODUCT(I21:I25)*IF(I16="차지", I29, 1)*(1+IF(I8,0.5,0)+IF(COUNTIF(니케스팩!$M:$M, I15),IF(메인!$C$4,메인!$C$4+I54+IF(AND(COUNTIF(I15:I18,"관통"),메인!$C$5),1,0),0)+IF(메인!$C$8,0.3+I55,0),0))</f>
        <v>844537.95723755343</v>
      </c>
      <c r="J20" s="162">
        <f>PRODUCT(J21:J25)*IF(J16="차지", J29, 1)*(1+IF(J8,0.5,0)+IF(COUNTIF(니케스팩!$M:$M, J15),IF(메인!$C$4,메인!$C$4+J54+IF(AND(COUNTIF(J15:J18,"관통"),메인!$C$5),1,0),0)+IF(메인!$C$8,0.3+J55,0),0))</f>
        <v>1014528.2098506629</v>
      </c>
      <c r="K20" s="162">
        <f>PRODUCT(K21:K25)*IF(K16="차지", K29, 1)*(1+IF(K8,0.5,0)+IF(COUNTIF(니케스팩!$M:$M, K15),IF(메인!$C$4,메인!$C$4+K54+IF(AND(COUNTIF(K15:K18,"관통"),메인!$C$5),1,0),0)+IF(메인!$C$8,0.3+K55,0),0))</f>
        <v>0</v>
      </c>
      <c r="L20" s="162">
        <f>PRODUCT(L21:L25)*IF(L16="차지", L29, 1)*(1+IF(L8,0.5,0)+IF(COUNTIF(니케스팩!$M:$M, L15),IF(메인!$C$4,메인!$C$4+L54+IF(AND(COUNTIF(L15:L18,"관통"),메인!$C$5),1,0),0)+IF(메인!$C$8,0.3+L55,0),0))</f>
        <v>0</v>
      </c>
      <c r="M20" s="162">
        <f>PRODUCT(M21:M25)*IF(M16="차지", M29, 1)*(1+IF(M8,0.5,0)+IF(COUNTIF(니케스팩!$M:$M, M15),IF(메인!$C$4,메인!$C$4+M54+IF(AND(COUNTIF(M15:M18,"관통"),메인!$C$5),1,0),0)+IF(메인!$C$8,0.3+M55,0),0))</f>
        <v>0</v>
      </c>
      <c r="N20" s="162">
        <f>PRODUCT(N21:N25)*IF(N16="차지", N29, 1)*(1+IF(N8,0.5,0)+IF(COUNTIF(니케스팩!$M:$M, N15),IF(메인!$C$4,메인!$C$4+N54+IF(AND(COUNTIF(N15:N18,"관통"),메인!$C$5),1,0),0)+IF(메인!$C$8,0.3+N55,0),0))</f>
        <v>1306899.8573552745</v>
      </c>
      <c r="O20" s="162">
        <f>PRODUCT(O21:O25)*IF(O16="차지", O29, 1)*(1+IF(O8,0.5,0)+IF(COUNTIF(니케스팩!$M:$M, O15),IF(메인!$C$4,메인!$C$4+O54+IF(AND(COUNTIF(O15:O18,"관통"),메인!$C$5),1,0),0)+IF(메인!$C$8,0.3+O55,0),0))</f>
        <v>927018.20938898926</v>
      </c>
      <c r="P20" s="162">
        <f>PRODUCT(P21:P25)*IF(P16="차지", P29, 1)*(1+IF(P8,0.5,0)+IF(COUNTIF(니케스팩!$M:$M, P15),IF(메인!$C$4,메인!$C$4+P54+IF(AND(COUNTIF(P15:P18,"관통"),메인!$C$5),1,0),0)+IF(메인!$C$8,0.3+P55,0),0))</f>
        <v>0</v>
      </c>
      <c r="Q20" s="162">
        <f>PRODUCT(Q21:Q25)*IF(Q16="차지", Q29, 1)*(1+IF(Q8,0.5,0)+IF(COUNTIF(니케스팩!$M:$M, Q15),IF(메인!$C$4,메인!$C$4+Q54+IF(AND(COUNTIF(Q15:Q18,"관통"),메인!$C$5),1,0),0)+IF(메인!$C$8,0.3+Q55,0),0))</f>
        <v>0</v>
      </c>
      <c r="R20" s="162">
        <f>PRODUCT(R21:R25)*IF(R16="차지", R29, 1)*(1+IF(R8,0.5,0)+IF(COUNTIF(니케스팩!$M:$M, R15),IF(메인!$C$4,메인!$C$4+R54+IF(AND(COUNTIF(R15:R18,"관통"),메인!$C$5),1,0),0)+IF(메인!$C$8,0.3+R55,0),0))</f>
        <v>713067.5935530141</v>
      </c>
      <c r="S20" s="162">
        <f>PRODUCT(S21:S25)*IF(S16="차지", S29, 1)*(1+IF(S8,0.5,0)+IF(COUNTIF(니케스팩!$M:$M, S15),IF(메인!$C$4,메인!$C$4+S54+IF(AND(COUNTIF(S15:S18,"관통"),메인!$C$5),1,0),0)+IF(메인!$C$8,0.3+S55,0),0))</f>
        <v>821399.98972259439</v>
      </c>
      <c r="T20" s="162">
        <f>PRODUCT(T21:T25)*IF(T16="차지", T29, 1)*(1+IF(T8,0.5,0)+IF(COUNTIF(니케스팩!$M:$M, T15),IF(메인!$C$4,메인!$C$4+T54+IF(AND(COUNTIF(T15:T18,"관통"),메인!$C$5),1,0),0)+IF(메인!$C$8,0.3+T55,0),0))</f>
        <v>0</v>
      </c>
      <c r="U20" s="162">
        <f>PRODUCT(U21:U25)*IF(U16="차지", U29, 1)*(1+IF(U8,0.5,0)+IF(COUNTIF(니케스팩!$M:$M, U15),IF(메인!$C$4,메인!$C$4+U54+IF(AND(COUNTIF(U15:U18,"관통"),메인!$C$5),1,0),0)+IF(메인!$C$8,0.3+U55,0),0))</f>
        <v>0</v>
      </c>
      <c r="AX20" s="163"/>
    </row>
    <row r="21" spans="1:50" x14ac:dyDescent="0.45">
      <c r="B21" s="9" t="s">
        <v>235</v>
      </c>
      <c r="C21" s="164" cm="1">
        <f t="array" ref="C21">INDEX(딜러데이터!$55:$55, 1, MATCH(메인!$F$4, 딜러데이터!$1:$1, 0)+C$8)*(1+C60)</f>
        <v>13.6592</v>
      </c>
      <c r="D21" s="164" cm="1">
        <f t="array" ref="D21">INDEX(딜러데이터!$55:$55, 1, MATCH(메인!$F$4, 딜러데이터!$1:$1, 0)+D$8)*(1+D60)</f>
        <v>3.468</v>
      </c>
      <c r="E21" s="164" cm="1">
        <f t="array" ref="E21">INDEX(딜러데이터!$55:$55, 1, MATCH(메인!$F$4, 딜러데이터!$1:$1, 0)+E$8)*(1+E60)</f>
        <v>0.3211</v>
      </c>
      <c r="F21" s="164" cm="1">
        <f t="array" ref="F21">INDEX(딜러데이터!$55:$55, 1, MATCH(메인!$F$4, 딜러데이터!$1:$1, 0)+F$8)*(1+F60)</f>
        <v>1.3660000000000001</v>
      </c>
      <c r="G21" s="164" cm="1">
        <f t="array" ref="G21">INDEX(딜러데이터!$55:$55, 1, MATCH(메인!$F$4, 딜러데이터!$1:$1, 0)+G$8)*(1+G60)</f>
        <v>0</v>
      </c>
      <c r="H21" s="164" cm="1">
        <f t="array" ref="H21">INDEX(딜러데이터!$55:$55, 1, MATCH(메인!$F$4, 딜러데이터!$1:$1, 0)+H$8)*(1+H60)</f>
        <v>0</v>
      </c>
      <c r="I21" s="164" cm="1">
        <f t="array" ref="I21">INDEX(딜러데이터!$55:$55, 1, MATCH(메인!$F$4, 딜러데이터!$1:$1, 0)+I$8)*(1+I60)</f>
        <v>0.3211</v>
      </c>
      <c r="J21" s="164" cm="1">
        <f t="array" ref="J21">INDEX(딜러데이터!$55:$55, 1, MATCH(메인!$F$4, 딜러데이터!$1:$1, 0)+J$8)*(1+J60)</f>
        <v>1.3660000000000001</v>
      </c>
      <c r="K21" s="164" cm="1">
        <f t="array" ref="K21">INDEX(딜러데이터!$55:$55, 1, MATCH(메인!$F$4, 딜러데이터!$1:$1, 0)+K$8)*(1+K60)</f>
        <v>0</v>
      </c>
      <c r="L21" s="164" cm="1">
        <f t="array" ref="L21">INDEX(딜러데이터!$55:$55, 1, MATCH(메인!$F$4, 딜러데이터!$1:$1, 0)+L$8)*(1+L60)</f>
        <v>0</v>
      </c>
      <c r="M21" s="231" cm="1">
        <f t="array" ref="M21">INDEX(딜러데이터!$68:$68, 1, MATCH(메인!$F$4, 딜러데이터!$1:$1, 0)+M$8)*(1+M60)</f>
        <v>0</v>
      </c>
      <c r="N21" s="164" cm="1">
        <f t="array" ref="N21">INDEX(딜러데이터!$68:$68, 1, MATCH(메인!$F$4, 딜러데이터!$1:$1, 0)+N$8)*(1+N60)</f>
        <v>0.3211</v>
      </c>
      <c r="O21" s="164" cm="1">
        <f t="array" ref="O21">INDEX(딜러데이터!$68:$68, 1, MATCH(메인!$F$4, 딜러데이터!$1:$1, 0)+O$8)*(1+O60)</f>
        <v>1.3660000000000001</v>
      </c>
      <c r="P21" s="164" cm="1">
        <f t="array" ref="P21">INDEX(딜러데이터!$68:$68, 1, MATCH(메인!$F$4, 딜러데이터!$1:$1, 0)+P$8)*(1+P60)</f>
        <v>0</v>
      </c>
      <c r="Q21" s="164" cm="1">
        <f t="array" ref="Q21">INDEX(딜러데이터!$68:$68, 1, MATCH(메인!$F$4, 딜러데이터!$1:$1, 0)+Q$8)*(1+Q60)</f>
        <v>0</v>
      </c>
      <c r="R21" s="164" cm="1">
        <f t="array" ref="R21">INDEX(딜러데이터!$68:$68, 1, MATCH(메인!$F$4, 딜러데이터!$1:$1, 0)+R$8)*(1+R60)</f>
        <v>0.3211</v>
      </c>
      <c r="S21" s="164" cm="1">
        <f t="array" ref="S21">INDEX(딜러데이터!$68:$68, 1, MATCH(메인!$F$4, 딜러데이터!$1:$1, 0)+S$8)*(1+S60)</f>
        <v>1.3660000000000001</v>
      </c>
      <c r="T21" s="164" cm="1">
        <f t="array" ref="T21">INDEX(딜러데이터!$68:$68, 1, MATCH(메인!$F$4, 딜러데이터!$1:$1, 0)+T$8)*(1+T60)</f>
        <v>0</v>
      </c>
      <c r="U21" s="164" cm="1">
        <f t="array" ref="U21">INDEX(딜러데이터!$68:$68, 1, MATCH(메인!$F$4, 딜러데이터!$1:$1, 0)+U$8)*(1+U60)</f>
        <v>0</v>
      </c>
      <c r="AX21" s="1"/>
    </row>
    <row r="22" spans="1:50" x14ac:dyDescent="0.45">
      <c r="A22" t="s">
        <v>236</v>
      </c>
      <c r="B22" s="75" t="s">
        <v>237</v>
      </c>
      <c r="C22" s="71">
        <f>IF(메인!$C$9,1.1+C59,1)</f>
        <v>1</v>
      </c>
      <c r="D22" s="71">
        <f>IF(메인!$C$9,1.1+D59,1)</f>
        <v>1</v>
      </c>
      <c r="E22" s="71">
        <f>IF(메인!$C$9,1.1+E59,1)</f>
        <v>1</v>
      </c>
      <c r="F22" s="71">
        <f>IF(메인!$C$9,1.1+F59,1)</f>
        <v>1</v>
      </c>
      <c r="G22" s="71">
        <f>IF(메인!$C$9,1.1+G59,1)</f>
        <v>1</v>
      </c>
      <c r="H22" s="71">
        <f>IF(메인!$C$9,1.1+H59,1)</f>
        <v>1</v>
      </c>
      <c r="I22" s="71">
        <f>IF(메인!$C$9,1.1+I59,1)</f>
        <v>1</v>
      </c>
      <c r="J22" s="71">
        <f>IF(메인!$C$9,1.1+J59,1)</f>
        <v>1</v>
      </c>
      <c r="K22" s="71">
        <f>IF(메인!$C$9,1.1+K59,1)</f>
        <v>1</v>
      </c>
      <c r="L22" s="71">
        <f>IF(메인!$C$9,1.1+L59,1)</f>
        <v>1</v>
      </c>
      <c r="M22" s="71">
        <f>IF(메인!$C$9,1.1+M59,1)</f>
        <v>1</v>
      </c>
      <c r="N22" s="71">
        <f>IF(메인!$C$9,1.1+N59,1)</f>
        <v>1</v>
      </c>
      <c r="O22" s="71">
        <f>IF(메인!$C$9,1.1+O59,1)</f>
        <v>1</v>
      </c>
      <c r="P22" s="71">
        <f>IF(메인!$C$9,1.1+P59,1)</f>
        <v>1</v>
      </c>
      <c r="Q22" s="71">
        <f>IF(메인!$C$9,1.1+Q59,1)</f>
        <v>1</v>
      </c>
      <c r="R22" s="71">
        <f>IF(메인!$C$9,1.1+R59,1)</f>
        <v>1</v>
      </c>
      <c r="S22" s="71">
        <f>IF(메인!$C$9,1.1+S59,1)</f>
        <v>1</v>
      </c>
      <c r="T22" s="71">
        <f>IF(메인!$C$9,1.1+T59,1)</f>
        <v>1</v>
      </c>
      <c r="U22" s="71">
        <f>IF(메인!$C$9,1.1+U59,1)</f>
        <v>1</v>
      </c>
      <c r="AX22" s="1"/>
    </row>
    <row r="23" spans="1:50" x14ac:dyDescent="0.45">
      <c r="A23" t="s">
        <v>238</v>
      </c>
      <c r="B23" s="75" t="s">
        <v>239</v>
      </c>
      <c r="C23" s="165">
        <f>메인!$F$7*(1+C36)+C33-IF(COUNTIF(C15:C18, "방어력무시"), 0, 메인!$C$3*(1-MIN(1,C37)))</f>
        <v>338864.71214052802</v>
      </c>
      <c r="D23" s="165">
        <f>메인!$F$7*(1+D36)+D33-IF(COUNTIF(D15:D18, "방어력무시"), 0, 메인!$C$3*(1-MIN(1,D37)))</f>
        <v>370682.40231252799</v>
      </c>
      <c r="E23" s="165">
        <f>메인!$F$7*(1+E36)+E33-IF(COUNTIF(E15:E18, "방어력무시"), 0, 메인!$C$3*(1-MIN(1,E37)))</f>
        <v>370682.40231252799</v>
      </c>
      <c r="F23" s="165">
        <f>메인!$F$7*(1+F36)+F33-IF(COUNTIF(F15:F18, "방어력무시"), 0, 메인!$C$3*(1-MIN(1,F37)))</f>
        <v>370682.40231252799</v>
      </c>
      <c r="G23" s="165">
        <f>메인!$F$7*(1+G36)+G33-IF(COUNTIF(G15:G18, "방어력무시"), 0, 메인!$C$3*(1-MIN(1,G37)))</f>
        <v>370682.40231252799</v>
      </c>
      <c r="H23" s="165">
        <f>메인!$F$7*(1+H36)+H33-IF(COUNTIF(H15:H18, "방어력무시"), 0, 메인!$C$3*(1-MIN(1,H37)))</f>
        <v>370682.40231252799</v>
      </c>
      <c r="I23" s="165">
        <f>메인!$F$7*(1+I36)+I33-IF(COUNTIF(I15:I18, "방어력무시"), 0, 메인!$C$3*(1-MIN(1,I37)))</f>
        <v>332215.06853252801</v>
      </c>
      <c r="J23" s="165">
        <f>메인!$F$7*(1+J36)+J33-IF(COUNTIF(J15:J18, "방어력무시"), 0, 메인!$C$3*(1-MIN(1,J37)))</f>
        <v>332215.06853252801</v>
      </c>
      <c r="K23" s="165">
        <f>메인!$F$7*(1+K36)+K33-IF(COUNTIF(K15:K18, "방어력무시"), 0, 메인!$C$3*(1-MIN(1,K37)))</f>
        <v>332215.06853252801</v>
      </c>
      <c r="L23" s="165">
        <f>메인!$F$7*(1+L36)+L33-IF(COUNTIF(L15:L18, "방어력무시"), 0, 메인!$C$3*(1-MIN(1,L37)))</f>
        <v>332215.06853252801</v>
      </c>
      <c r="M23" s="165">
        <f>메인!$F$7*(1+M36)+M33-IF(COUNTIF(M15:M18, "방어력무시"), 0, 메인!$C$3*(1-MIN(1,M37)))</f>
        <v>154208.73155999999</v>
      </c>
      <c r="N23" s="165">
        <f>메인!$F$7*(1+N36)+N33-IF(COUNTIF(N15:N18, "방어력무시"), 0, 메인!$C$3*(1-MIN(1,N37)))</f>
        <v>337630.37280252803</v>
      </c>
      <c r="O23" s="165">
        <f>메인!$F$7*(1+O36)+O33-IF(COUNTIF(O15:O18, "방어력무시"), 0, 메인!$C$3*(1-MIN(1,O37)))</f>
        <v>337630.37280252803</v>
      </c>
      <c r="P23" s="165">
        <f>메인!$F$7*(1+P36)+P33-IF(COUNTIF(P15:P18, "방어력무시"), 0, 메인!$C$3*(1-MIN(1,P37)))</f>
        <v>337630.37280252803</v>
      </c>
      <c r="Q23" s="165">
        <f>메인!$F$7*(1+Q36)+Q33-IF(COUNTIF(Q15:Q18, "방어력무시"), 0, 메인!$C$3*(1-MIN(1,Q37)))</f>
        <v>337630.37280252803</v>
      </c>
      <c r="R23" s="165">
        <f>메인!$F$7*(1+R36)+R33-IF(COUNTIF(R15:R18, "방어력무시"), 0, 메인!$C$3*(1-MIN(1,R37)))</f>
        <v>299163.03902252804</v>
      </c>
      <c r="S23" s="165">
        <f>메인!$F$7*(1+S36)+S33-IF(COUNTIF(S15:S18, "방어력무시"), 0, 메인!$C$3*(1-MIN(1,S37)))</f>
        <v>299163.03902252804</v>
      </c>
      <c r="T23" s="165">
        <f>메인!$F$7*(1+T36)+T33-IF(COUNTIF(T15:T18, "방어력무시"), 0, 메인!$C$3*(1-MIN(1,T37)))</f>
        <v>299163.03902252804</v>
      </c>
      <c r="U23" s="165">
        <f>메인!$F$7*(1+U36)+U33-IF(COUNTIF(U15:U18, "방어력무시"), 0, 메인!$C$3*(1-MIN(1,U37)))</f>
        <v>299163.03902252804</v>
      </c>
    </row>
    <row r="24" spans="1:50" x14ac:dyDescent="0.45">
      <c r="A24" t="s">
        <v>240</v>
      </c>
      <c r="B24" s="9" t="s">
        <v>241</v>
      </c>
      <c r="C24" s="72" cm="1">
        <f t="array" ref="C24">1+C38+IFERROR(SUM(_xlfn._xlws.FILTER(C39:C47, ISNUMBER(MATCH($B39:$B47, C15:C18, 0)))),0)</f>
        <v>1.1504000000000001</v>
      </c>
      <c r="D24" s="72" cm="1">
        <f t="array" ref="D24">1+D38+IFERROR(SUM(_xlfn._xlws.FILTER(D39:D47, ISNUMBER(MATCH($B39:$B47, D15:D18, 0)))),0)</f>
        <v>1.4904000000000002</v>
      </c>
      <c r="E24" s="72" cm="1">
        <f t="array" ref="E24">1+E38+IFERROR(SUM(_xlfn._xlws.FILTER(E39:E47, ISNUMBER(MATCH($B39:$B47, E15:E18, 0)))),0)</f>
        <v>2.4107000000000003</v>
      </c>
      <c r="F24" s="72" cm="1">
        <f t="array" ref="F24">1+F38+IFERROR(SUM(_xlfn._xlws.FILTER(F39:F47, ISNUMBER(MATCH($B39:$B47, F15:F18, 0)))),0)</f>
        <v>1.4904000000000002</v>
      </c>
      <c r="G24" s="72" cm="1">
        <f t="array" ref="G24">1+G38+IFERROR(SUM(_xlfn._xlws.FILTER(G39:G47, ISNUMBER(MATCH($B39:$B47, G15:G18, 0)))),0)</f>
        <v>1.4904000000000002</v>
      </c>
      <c r="H24" s="72" cm="1">
        <f t="array" ref="H24">1+H38+IFERROR(SUM(_xlfn._xlws.FILTER(H39:H47, ISNUMBER(MATCH($B39:$B47, H15:H18, 0)))),0)</f>
        <v>1.4904000000000002</v>
      </c>
      <c r="I24" s="72" cm="1">
        <f t="array" ref="I24">1+I38+IFERROR(SUM(_xlfn._xlws.FILTER(I39:I47, ISNUMBER(MATCH($B39:$B47, I15:I18, 0)))),0)</f>
        <v>2.4107000000000003</v>
      </c>
      <c r="J24" s="72" cm="1">
        <f t="array" ref="J24">1+J38+IFERROR(SUM(_xlfn._xlws.FILTER(J39:J47, ISNUMBER(MATCH($B39:$B47, J15:J18, 0)))),0)</f>
        <v>1.4904000000000002</v>
      </c>
      <c r="K24" s="72" cm="1">
        <f t="array" ref="K24">1+K38+IFERROR(SUM(_xlfn._xlws.FILTER(K39:K47, ISNUMBER(MATCH($B39:$B47, K15:K18, 0)))),0)</f>
        <v>1.4904000000000002</v>
      </c>
      <c r="L24" s="72" cm="1">
        <f t="array" ref="L24">1+L38+IFERROR(SUM(_xlfn._xlws.FILTER(L39:L47, ISNUMBER(MATCH($B39:$B47, L15:L18, 0)))),0)</f>
        <v>1.4904000000000002</v>
      </c>
      <c r="M24" s="72" cm="1">
        <f t="array" ref="M24">1+M38+IFERROR(SUM(_xlfn._xlws.FILTER(M39:M47, ISNUMBER(MATCH($B39:$B47, M15:M18, 0)))),0)</f>
        <v>1</v>
      </c>
      <c r="N24" s="72" cm="1">
        <f t="array" ref="N24">1+N38+IFERROR(SUM(_xlfn._xlws.FILTER(N39:N47, ISNUMBER(MATCH($B39:$B47, N15:N18, 0)))),0)</f>
        <v>2.2603</v>
      </c>
      <c r="O24" s="72" cm="1">
        <f t="array" ref="O24">1+O38+IFERROR(SUM(_xlfn._xlws.FILTER(O39:O47, ISNUMBER(MATCH($B39:$B47, O15:O18, 0)))),0)</f>
        <v>1.34</v>
      </c>
      <c r="P24" s="72" cm="1">
        <f t="array" ref="P24">1+P38+IFERROR(SUM(_xlfn._xlws.FILTER(P39:P47, ISNUMBER(MATCH($B39:$B47, P15:P18, 0)))),0)</f>
        <v>1.34</v>
      </c>
      <c r="Q24" s="72" cm="1">
        <f t="array" ref="Q24">1+Q38+IFERROR(SUM(_xlfn._xlws.FILTER(Q39:Q47, ISNUMBER(MATCH($B39:$B47, Q15:Q18, 0)))),0)</f>
        <v>1.34</v>
      </c>
      <c r="R24" s="72" cm="1">
        <f t="array" ref="R24">1+R38+IFERROR(SUM(_xlfn._xlws.FILTER(R39:R47, ISNUMBER(MATCH($B39:$B47, R15:R18, 0)))),0)</f>
        <v>2.2603</v>
      </c>
      <c r="S24" s="72" cm="1">
        <f t="array" ref="S24">1+S38+IFERROR(SUM(_xlfn._xlws.FILTER(S39:S47, ISNUMBER(MATCH($B39:$B47, S15:S18, 0)))),0)</f>
        <v>1.34</v>
      </c>
      <c r="T24" s="72" cm="1">
        <f t="array" ref="T24">1+T38+IFERROR(SUM(_xlfn._xlws.FILTER(T39:T47, ISNUMBER(MATCH($B39:$B47, T15:T18, 0)))),0)</f>
        <v>1.34</v>
      </c>
      <c r="U24" s="72" cm="1">
        <f t="array" ref="U24">1+U38+IFERROR(SUM(_xlfn._xlws.FILTER(U39:U47, ISNUMBER(MATCH($B39:$B47, U15:U18, 0)))),0)</f>
        <v>1.34</v>
      </c>
    </row>
    <row r="25" spans="1:50" x14ac:dyDescent="0.45">
      <c r="A25" t="s">
        <v>242</v>
      </c>
      <c r="B25" s="9" t="s">
        <v>243</v>
      </c>
      <c r="C25" s="72">
        <f t="shared" ref="C25:U25" si="2">1+C49+IF(COUNTIF(C15:C18, "분배"), C48, 0)</f>
        <v>1</v>
      </c>
      <c r="D25" s="72">
        <f t="shared" si="2"/>
        <v>1</v>
      </c>
      <c r="E25" s="72">
        <f t="shared" si="2"/>
        <v>1</v>
      </c>
      <c r="F25" s="72">
        <f t="shared" si="2"/>
        <v>1</v>
      </c>
      <c r="G25" s="72">
        <f t="shared" si="2"/>
        <v>1</v>
      </c>
      <c r="H25" s="72">
        <f t="shared" si="2"/>
        <v>1</v>
      </c>
      <c r="I25" s="72">
        <f t="shared" si="2"/>
        <v>1</v>
      </c>
      <c r="J25" s="72">
        <f t="shared" si="2"/>
        <v>1</v>
      </c>
      <c r="K25" s="72">
        <f t="shared" si="2"/>
        <v>1</v>
      </c>
      <c r="L25" s="72">
        <f t="shared" si="2"/>
        <v>1</v>
      </c>
      <c r="M25" s="72">
        <f t="shared" si="2"/>
        <v>1</v>
      </c>
      <c r="N25" s="72">
        <f t="shared" si="2"/>
        <v>1</v>
      </c>
      <c r="O25" s="72">
        <f t="shared" si="2"/>
        <v>1</v>
      </c>
      <c r="P25" s="72">
        <f t="shared" si="2"/>
        <v>1</v>
      </c>
      <c r="Q25" s="72">
        <f t="shared" si="2"/>
        <v>1</v>
      </c>
      <c r="R25" s="72">
        <f t="shared" si="2"/>
        <v>1</v>
      </c>
      <c r="S25" s="72">
        <f t="shared" si="2"/>
        <v>1</v>
      </c>
      <c r="T25" s="72">
        <f t="shared" si="2"/>
        <v>1</v>
      </c>
      <c r="U25" s="72">
        <f t="shared" si="2"/>
        <v>1</v>
      </c>
    </row>
    <row r="26" spans="1:50" x14ac:dyDescent="0.45">
      <c r="A26" t="s">
        <v>244</v>
      </c>
      <c r="B26" s="75" t="s">
        <v>245</v>
      </c>
      <c r="C26" s="72" t="e">
        <f>1+IF(C8,0.5,0)+(0.15+MIN(1,SUM(C50:C51)))*(0.5+SUM(C52:C53))+IF(메인!$C$4,메인!$C$4+C54+IF(AND(COUNTIF(C15:C18,"관통"),메인!$C$5),1,0),0)*C27+IF(메인!$C$8,0.3+C55,0)</f>
        <v>#N/A</v>
      </c>
      <c r="D26" s="72" t="e">
        <f>1+IF(D8,0.5,0)+(0.15+MIN(1,SUM(D50:D51)))*(0.5+SUM(D52:D53))+IF(메인!$C$4,메인!$C$4+D54+IF(AND(COUNTIF(D15:D18,"관통"),메인!$C$5),1,0),0)*D27+IF(메인!$C$8,0.3+D55,0)</f>
        <v>#N/A</v>
      </c>
      <c r="E26" s="72">
        <f>1+IF(E8,0.5,0)+(0.15+MIN(1,SUM(E50:E51)))*(0.5+SUM(E52:E53))+IF(메인!$C$4,메인!$C$4+E54+IF(AND(COUNTIF(E15:E18,"관통"),메인!$C$5),1,0),0)*E27+IF(메인!$C$8,0.3+E55,0)</f>
        <v>1.8155901999999999</v>
      </c>
      <c r="F26" s="72" t="e">
        <f>1+IF(F8,0.5,0)+(0.15+MIN(1,SUM(F50:F51)))*(0.5+SUM(F52:F53))+IF(메인!$C$4,메인!$C$4+F54+IF(AND(COUNTIF(F15:F18,"관통"),메인!$C$5),1,0),0)*F27+IF(메인!$C$8,0.3+F55,0)</f>
        <v>#N/A</v>
      </c>
      <c r="G26" s="72" t="e">
        <f>1+IF(G8,0.5,0)+(0.15+MIN(1,SUM(G50:G51)))*(0.5+SUM(G52:G53))+IF(메인!$C$4,메인!$C$4+G54+IF(AND(COUNTIF(G15:G18,"관통"),메인!$C$5),1,0),0)*G27+IF(메인!$C$8,0.3+G55,0)</f>
        <v>#N/A</v>
      </c>
      <c r="H26" s="72" t="e">
        <f>1+IF(H8,0.5,0)+(0.15+MIN(1,SUM(H50:H51)))*(0.5+SUM(H52:H53))+IF(메인!$C$4,메인!$C$4+H54+IF(AND(COUNTIF(H15:H18,"관통"),메인!$C$5),1,0),0)*H27+IF(메인!$C$8,0.3+H55,0)</f>
        <v>#N/A</v>
      </c>
      <c r="I26" s="72">
        <f>1+IF(I8,0.5,0)+(0.15+MIN(1,SUM(I50:I51)))*(0.5+SUM(I52:I53))+IF(메인!$C$4,메인!$C$4+I54+IF(AND(COUNTIF(I15:I18,"관통"),메인!$C$5),1,0),0)*I27+IF(메인!$C$8,0.3+I55,0)</f>
        <v>1.8155901999999999</v>
      </c>
      <c r="J26" s="72" t="e">
        <f>1+IF(J8,0.5,0)+(0.15+MIN(1,SUM(J50:J51)))*(0.5+SUM(J52:J53))+IF(메인!$C$4,메인!$C$4+J54+IF(AND(COUNTIF(J15:J18,"관통"),메인!$C$5),1,0),0)*J27+IF(메인!$C$8,0.3+J55,0)</f>
        <v>#N/A</v>
      </c>
      <c r="K26" s="72" t="e">
        <f>1+IF(K8,0.5,0)+(0.15+MIN(1,SUM(K50:K51)))*(0.5+SUM(K52:K53))+IF(메인!$C$4,메인!$C$4+K54+IF(AND(COUNTIF(K15:K18,"관통"),메인!$C$5),1,0),0)*K27+IF(메인!$C$8,0.3+K55,0)</f>
        <v>#N/A</v>
      </c>
      <c r="L26" s="72" t="e">
        <f>1+IF(L8,0.5,0)+(0.15+MIN(1,SUM(L50:L51)))*(0.5+SUM(L52:L53))+IF(메인!$C$4,메인!$C$4+L54+IF(AND(COUNTIF(L15:L18,"관통"),메인!$C$5),1,0),0)*L27+IF(메인!$C$8,0.3+L55,0)</f>
        <v>#N/A</v>
      </c>
      <c r="M26" s="72" t="e">
        <f>1+IF(M8,0.5,0)+(0.15+MIN(1,SUM(M50:M51)))*(0.5+SUM(M52:M53))+IF(메인!$C$4,메인!$C$4+M54+IF(AND(COUNTIF(M15:M18,"관통"),메인!$C$5),1,0),0)*M27+IF(메인!$C$8,0.3+M55,0)</f>
        <v>#N/A</v>
      </c>
      <c r="N26" s="72">
        <f>1+IF(N8,0.5,0)+(0.15+MIN(1,SUM(N50:N51)))*(0.5+SUM(N52:N53))+IF(메인!$C$4,메인!$C$4+N54+IF(AND(COUNTIF(N15:N18,"관통"),메인!$C$5),1,0),0)*N27+IF(메인!$C$8,0.3+N55,0)</f>
        <v>1.6752500000000001</v>
      </c>
      <c r="O26" s="72" t="e">
        <f>1+IF(O8,0.5,0)+(0.15+MIN(1,SUM(O50:O51)))*(0.5+SUM(O52:O53))+IF(메인!$C$4,메인!$C$4+O54+IF(AND(COUNTIF(O15:O18,"관통"),메인!$C$5),1,0),0)*O27+IF(메인!$C$8,0.3+O55,0)</f>
        <v>#N/A</v>
      </c>
      <c r="P26" s="72" t="e">
        <f>1+IF(P8,0.5,0)+(0.15+MIN(1,SUM(P50:P51)))*(0.5+SUM(P52:P53))+IF(메인!$C$4,메인!$C$4+P54+IF(AND(COUNTIF(P15:P18,"관통"),메인!$C$5),1,0),0)*P27+IF(메인!$C$8,0.3+P55,0)</f>
        <v>#N/A</v>
      </c>
      <c r="Q26" s="72" t="e">
        <f>1+IF(Q8,0.5,0)+(0.15+MIN(1,SUM(Q50:Q51)))*(0.5+SUM(Q52:Q53))+IF(메인!$C$4,메인!$C$4+Q54+IF(AND(COUNTIF(Q15:Q18,"관통"),메인!$C$5),1,0),0)*Q27+IF(메인!$C$8,0.3+Q55,0)</f>
        <v>#N/A</v>
      </c>
      <c r="R26" s="72">
        <f>1+IF(R8,0.5,0)+(0.15+MIN(1,SUM(R50:R51)))*(0.5+SUM(R52:R53))+IF(메인!$C$4,메인!$C$4+R54+IF(AND(COUNTIF(R15:R18,"관통"),메인!$C$5),1,0),0)*R27+IF(메인!$C$8,0.3+R55,0)</f>
        <v>1.6752500000000001</v>
      </c>
      <c r="S26" s="72" t="e">
        <f>1+IF(S8,0.5,0)+(0.15+MIN(1,SUM(S50:S51)))*(0.5+SUM(S52:S53))+IF(메인!$C$4,메인!$C$4+S54+IF(AND(COUNTIF(S15:S18,"관통"),메인!$C$5),1,0),0)*S27+IF(메인!$C$8,0.3+S55,0)</f>
        <v>#N/A</v>
      </c>
      <c r="T26" s="72" t="e">
        <f>1+IF(T8,0.5,0)+(0.15+MIN(1,SUM(T50:T51)))*(0.5+SUM(T52:T53))+IF(메인!$C$4,메인!$C$4+T54+IF(AND(COUNTIF(T15:T18,"관통"),메인!$C$5),1,0),0)*T27+IF(메인!$C$8,0.3+T55,0)</f>
        <v>#N/A</v>
      </c>
      <c r="U26" s="72" t="e">
        <f>1+IF(U8,0.5,0)+(0.15+MIN(1,SUM(U50:U51)))*(0.5+SUM(U52:U53))+IF(메인!$C$4,메인!$C$4+U54+IF(AND(COUNTIF(U15:U18,"관통"),메인!$C$5),1,0),0)*U27+IF(메인!$C$8,0.3+U55,0)</f>
        <v>#N/A</v>
      </c>
      <c r="V26" s="52"/>
    </row>
    <row r="27" spans="1:50" x14ac:dyDescent="0.45">
      <c r="B27" s="193" t="s">
        <v>246</v>
      </c>
      <c r="C27" s="192" t="e">
        <f>IF(ISBLANK(메인!$C$7),(메인!$C$6/MAX(메인!$C$6,VLOOKUP(C15,니케스팩!$M:$P,COLUMN(니케스팩!$P$1)-COLUMN(니케스팩!$M$1)+1,0)*(1-C69/1.15)))^2,메인!$C$7)</f>
        <v>#N/A</v>
      </c>
      <c r="D27" s="192" t="e">
        <f>IF(ISBLANK(메인!$C$7),(메인!$C$6/MAX(메인!$C$6,VLOOKUP(D15,니케스팩!$M:$P,COLUMN(니케스팩!$P$1)-COLUMN(니케스팩!$M$1)+1,0)*(1-D69/1.15)))^2,메인!$C$7)</f>
        <v>#N/A</v>
      </c>
      <c r="E27" s="192">
        <f>IF(ISBLANK(메인!$C$7),(메인!$C$6/MAX(메인!$C$6,VLOOKUP(E15,니케스팩!$M:$P,COLUMN(니케스팩!$P$1)-COLUMN(니케스팩!$M$1)+1,0)*(1-E69/1.15)))^2,메인!$C$7)</f>
        <v>1</v>
      </c>
      <c r="F27" s="192" t="e">
        <f>IF(ISBLANK(메인!$C$7),(메인!$C$6/MAX(메인!$C$6,VLOOKUP(F15,니케스팩!$M:$P,COLUMN(니케스팩!$P$1)-COLUMN(니케스팩!$M$1)+1,0)*(1-F69/1.15)))^2,메인!$C$7)</f>
        <v>#N/A</v>
      </c>
      <c r="G27" s="192" t="e">
        <f>IF(ISBLANK(메인!$C$7),(메인!$C$6/MAX(메인!$C$6,VLOOKUP(G15,니케스팩!$M:$P,COLUMN(니케스팩!$P$1)-COLUMN(니케스팩!$M$1)+1,0)*(1-G69/1.15)))^2,메인!$C$7)</f>
        <v>#N/A</v>
      </c>
      <c r="H27" s="192" t="e">
        <f>IF(ISBLANK(메인!$C$7),(메인!$C$6/MAX(메인!$C$6,VLOOKUP(H15,니케스팩!$M:$P,COLUMN(니케스팩!$P$1)-COLUMN(니케스팩!$M$1)+1,0)*(1-H69/1.15)))^2,메인!$C$7)</f>
        <v>#N/A</v>
      </c>
      <c r="I27" s="192">
        <f>IF(ISBLANK(메인!$C$7),(메인!$C$6/MAX(메인!$C$6,VLOOKUP(I15,니케스팩!$M:$P,COLUMN(니케스팩!$P$1)-COLUMN(니케스팩!$M$1)+1,0)*(1-I69/1.15)))^2,메인!$C$7)</f>
        <v>1</v>
      </c>
      <c r="J27" s="192" t="e">
        <f>IF(ISBLANK(메인!$C$7),(메인!$C$6/MAX(메인!$C$6,VLOOKUP(J15,니케스팩!$M:$P,COLUMN(니케스팩!$P$1)-COLUMN(니케스팩!$M$1)+1,0)*(1-J69/1.15)))^2,메인!$C$7)</f>
        <v>#N/A</v>
      </c>
      <c r="K27" s="192" t="e">
        <f>IF(ISBLANK(메인!$C$7),(메인!$C$6/MAX(메인!$C$6,VLOOKUP(K15,니케스팩!$M:$P,COLUMN(니케스팩!$P$1)-COLUMN(니케스팩!$M$1)+1,0)*(1-K69/1.15)))^2,메인!$C$7)</f>
        <v>#N/A</v>
      </c>
      <c r="L27" s="192" t="e">
        <f>IF(ISBLANK(메인!$C$7),(메인!$C$6/MAX(메인!$C$6,VLOOKUP(L15,니케스팩!$M:$P,COLUMN(니케스팩!$P$1)-COLUMN(니케스팩!$M$1)+1,0)*(1-L69/1.15)))^2,메인!$C$7)</f>
        <v>#N/A</v>
      </c>
      <c r="M27" s="192" t="e">
        <f>IF(ISBLANK(메인!$C$7),(메인!$C$6/MAX(메인!$C$6,VLOOKUP(M15,니케스팩!$M:$P,COLUMN(니케스팩!$P$1)-COLUMN(니케스팩!$M$1)+1,0)*(1-M69/1.15)))^2,메인!$C$7)</f>
        <v>#N/A</v>
      </c>
      <c r="N27" s="192">
        <f>IF(ISBLANK(메인!$C$7),(메인!$C$6/MAX(메인!$C$6,VLOOKUP(N15,니케스팩!$M:$P,COLUMN(니케스팩!$P$1)-COLUMN(니케스팩!$M$1)+1,0)*(1-N69/1.15)))^2,메인!$C$7)</f>
        <v>1</v>
      </c>
      <c r="O27" s="192" t="e">
        <f>IF(ISBLANK(메인!$C$7),(메인!$C$6/MAX(메인!$C$6,VLOOKUP(O15,니케스팩!$M:$P,COLUMN(니케스팩!$P$1)-COLUMN(니케스팩!$M$1)+1,0)*(1-O69/1.15)))^2,메인!$C$7)</f>
        <v>#N/A</v>
      </c>
      <c r="P27" s="192" t="e">
        <f>IF(ISBLANK(메인!$C$7),(메인!$C$6/MAX(메인!$C$6,VLOOKUP(P15,니케스팩!$M:$P,COLUMN(니케스팩!$P$1)-COLUMN(니케스팩!$M$1)+1,0)*(1-P69/1.15)))^2,메인!$C$7)</f>
        <v>#N/A</v>
      </c>
      <c r="Q27" s="192" t="e">
        <f>IF(ISBLANK(메인!$C$7),(메인!$C$6/MAX(메인!$C$6,VLOOKUP(Q15,니케스팩!$M:$P,COLUMN(니케스팩!$P$1)-COLUMN(니케스팩!$M$1)+1,0)*(1-Q69/1.15)))^2,메인!$C$7)</f>
        <v>#N/A</v>
      </c>
      <c r="R27" s="192">
        <f>IF(ISBLANK(메인!$C$7),(메인!$C$6/MAX(메인!$C$6,VLOOKUP(R15,니케스팩!$M:$P,COLUMN(니케스팩!$P$1)-COLUMN(니케스팩!$M$1)+1,0)*(1-R69/1.15)))^2,메인!$C$7)</f>
        <v>1</v>
      </c>
      <c r="S27" s="192" t="e">
        <f>IF(ISBLANK(메인!$C$7),(메인!$C$6/MAX(메인!$C$6,VLOOKUP(S15,니케스팩!$M:$P,COLUMN(니케스팩!$P$1)-COLUMN(니케스팩!$M$1)+1,0)*(1-S69/1.15)))^2,메인!$C$7)</f>
        <v>#N/A</v>
      </c>
      <c r="T27" s="192" t="e">
        <f>IF(ISBLANK(메인!$C$7),(메인!$C$6/MAX(메인!$C$6,VLOOKUP(T15,니케스팩!$M:$P,COLUMN(니케스팩!$P$1)-COLUMN(니케스팩!$M$1)+1,0)*(1-T69/1.15)))^2,메인!$C$7)</f>
        <v>#N/A</v>
      </c>
      <c r="U27" s="192" t="e">
        <f>IF(ISBLANK(메인!$C$7),(메인!$C$6/MAX(메인!$C$6,VLOOKUP(U15,니케스팩!$M:$P,COLUMN(니케스팩!$P$1)-COLUMN(니케스팩!$M$1)+1,0)*(1-U69/1.15)))^2,메인!$C$7)</f>
        <v>#N/A</v>
      </c>
      <c r="V27" s="52"/>
    </row>
    <row r="28" spans="1:50" x14ac:dyDescent="0.45">
      <c r="B28" s="9" t="s">
        <v>247</v>
      </c>
      <c r="C28" s="72">
        <f t="shared" ref="C28:U28" si="3">1+IF(C8,0.5,0)+(0.15+MIN(1,C50))*(0.5+C52)</f>
        <v>1.3155901999999999</v>
      </c>
      <c r="D28" s="72">
        <f t="shared" si="3"/>
        <v>1.8155901999999999</v>
      </c>
      <c r="E28" s="72">
        <f t="shared" si="3"/>
        <v>1.8155901999999999</v>
      </c>
      <c r="F28" s="72">
        <f t="shared" si="3"/>
        <v>1.8155901999999999</v>
      </c>
      <c r="G28" s="72">
        <f t="shared" si="3"/>
        <v>1.8155901999999999</v>
      </c>
      <c r="H28" s="72">
        <f t="shared" si="3"/>
        <v>1.8155901999999999</v>
      </c>
      <c r="I28" s="72">
        <f t="shared" si="3"/>
        <v>1.8155901999999999</v>
      </c>
      <c r="J28" s="72">
        <f t="shared" si="3"/>
        <v>1.8155901999999999</v>
      </c>
      <c r="K28" s="72">
        <f t="shared" si="3"/>
        <v>1.8155901999999999</v>
      </c>
      <c r="L28" s="72">
        <f t="shared" si="3"/>
        <v>1.8155901999999999</v>
      </c>
      <c r="M28" s="72">
        <f t="shared" si="3"/>
        <v>1.1752500000000001</v>
      </c>
      <c r="N28" s="72">
        <f t="shared" si="3"/>
        <v>1.6752500000000001</v>
      </c>
      <c r="O28" s="72">
        <f t="shared" si="3"/>
        <v>1.6752500000000001</v>
      </c>
      <c r="P28" s="72">
        <f t="shared" si="3"/>
        <v>1.6752500000000001</v>
      </c>
      <c r="Q28" s="72">
        <f t="shared" si="3"/>
        <v>1.6752500000000001</v>
      </c>
      <c r="R28" s="72">
        <f t="shared" si="3"/>
        <v>1.6752500000000001</v>
      </c>
      <c r="S28" s="72">
        <f t="shared" si="3"/>
        <v>1.6752500000000001</v>
      </c>
      <c r="T28" s="72">
        <f t="shared" si="3"/>
        <v>1.6752500000000001</v>
      </c>
      <c r="U28" s="72">
        <f t="shared" si="3"/>
        <v>1.6752500000000001</v>
      </c>
    </row>
    <row r="29" spans="1:50" x14ac:dyDescent="0.45">
      <c r="A29" t="s">
        <v>248</v>
      </c>
      <c r="B29" s="9" t="s">
        <v>249</v>
      </c>
      <c r="C29" s="72">
        <f t="shared" ref="C29:U29" si="4">C30+C56</f>
        <v>0</v>
      </c>
      <c r="D29" s="72">
        <f t="shared" si="4"/>
        <v>0</v>
      </c>
      <c r="E29" s="72">
        <f t="shared" si="4"/>
        <v>2.1894</v>
      </c>
      <c r="F29" s="72">
        <f t="shared" si="4"/>
        <v>2.1894</v>
      </c>
      <c r="G29" s="72">
        <f t="shared" si="4"/>
        <v>0</v>
      </c>
      <c r="H29" s="72">
        <f t="shared" si="4"/>
        <v>0</v>
      </c>
      <c r="I29" s="72">
        <f t="shared" si="4"/>
        <v>2.1894</v>
      </c>
      <c r="J29" s="72">
        <f t="shared" si="4"/>
        <v>2.1894</v>
      </c>
      <c r="K29" s="72">
        <f t="shared" si="4"/>
        <v>0</v>
      </c>
      <c r="L29" s="72">
        <f t="shared" si="4"/>
        <v>0</v>
      </c>
      <c r="M29" s="72">
        <f t="shared" si="4"/>
        <v>0</v>
      </c>
      <c r="N29" s="72">
        <f t="shared" si="4"/>
        <v>3.5555202185792352</v>
      </c>
      <c r="O29" s="72">
        <f t="shared" si="4"/>
        <v>3.5555202185792352</v>
      </c>
      <c r="P29" s="72">
        <f t="shared" si="4"/>
        <v>1.3661202185792349</v>
      </c>
      <c r="Q29" s="72">
        <f t="shared" si="4"/>
        <v>1.3661202185792349</v>
      </c>
      <c r="R29" s="72">
        <f t="shared" si="4"/>
        <v>2.1894</v>
      </c>
      <c r="S29" s="72">
        <f t="shared" si="4"/>
        <v>2.1894</v>
      </c>
      <c r="T29" s="72">
        <f t="shared" si="4"/>
        <v>0</v>
      </c>
      <c r="U29" s="72">
        <f t="shared" si="4"/>
        <v>0</v>
      </c>
    </row>
    <row r="30" spans="1:50" ht="15.75" customHeight="1" x14ac:dyDescent="0.45">
      <c r="B30" s="12" t="s">
        <v>250</v>
      </c>
      <c r="C30" s="212" cm="1">
        <f t="array" ref="C30">INDEX(딜러데이터!$57:$57, 1, MATCH(메인!$F$4, 딜러데이터!$1:$1, 0)+C$8)*(1+IF(OR(메인!$F$6="SR",메인!$F$6="RL"),9.47%,0))</f>
        <v>0</v>
      </c>
      <c r="D30" s="213" cm="1">
        <f t="array" ref="D30">INDEX(딜러데이터!$57:$57, 1, MATCH(메인!$F$4, 딜러데이터!$1:$1, 0)+D$8)*(1+IF(OR(메인!$F$6="SR",메인!$F$6="RL"),9.47%,0))</f>
        <v>0</v>
      </c>
      <c r="E30" s="213" cm="1">
        <f t="array" ref="E30">INDEX(딜러데이터!$57:$57, 1, MATCH(메인!$F$4, 딜러데이터!$1:$1, 0)+E$8)*(1+IF(OR(메인!$F$6="SR",메인!$F$6="RL"),9.47%,0))</f>
        <v>2.1894</v>
      </c>
      <c r="F30" s="213" cm="1">
        <f t="array" ref="F30">INDEX(딜러데이터!$57:$57, 1, MATCH(메인!$F$4, 딜러데이터!$1:$1, 0)+F$8)*(1+IF(OR(메인!$F$6="SR",메인!$F$6="RL"),9.47%,0))</f>
        <v>2.1894</v>
      </c>
      <c r="G30" s="213" cm="1">
        <f t="array" ref="G30">INDEX(딜러데이터!$57:$57, 1, MATCH(메인!$F$4, 딜러데이터!$1:$1, 0)+G$8)*(1+IF(OR(메인!$F$6="SR",메인!$F$6="RL"),9.47%,0))</f>
        <v>0</v>
      </c>
      <c r="H30" s="213" cm="1">
        <f t="array" ref="H30">INDEX(딜러데이터!$57:$57, 1, MATCH(메인!$F$4, 딜러데이터!$1:$1, 0)+H$8)*(1+IF(OR(메인!$F$6="SR",메인!$F$6="RL"),9.47%,0))</f>
        <v>0</v>
      </c>
      <c r="I30" s="213" cm="1">
        <f t="array" ref="I30">INDEX(딜러데이터!$57:$57, 1, MATCH(메인!$F$4, 딜러데이터!$1:$1, 0)+I$8)*(1+IF(OR(메인!$F$6="SR",메인!$F$6="RL"),9.47%,0))</f>
        <v>2.1894</v>
      </c>
      <c r="J30" s="213" cm="1">
        <f t="array" ref="J30">INDEX(딜러데이터!$57:$57, 1, MATCH(메인!$F$4, 딜러데이터!$1:$1, 0)+J$8)*(1+IF(OR(메인!$F$6="SR",메인!$F$6="RL"),9.47%,0))</f>
        <v>2.1894</v>
      </c>
      <c r="K30" s="213" cm="1">
        <f t="array" ref="K30">INDEX(딜러데이터!$57:$57, 1, MATCH(메인!$F$4, 딜러데이터!$1:$1, 0)+K$8)*(1+IF(OR(메인!$F$6="SR",메인!$F$6="RL"),9.47%,0))</f>
        <v>0</v>
      </c>
      <c r="L30" s="213" cm="1">
        <f t="array" ref="L30">INDEX(딜러데이터!$57:$57, 1, MATCH(메인!$F$4, 딜러데이터!$1:$1, 0)+L$8)*(1+IF(OR(메인!$F$6="SR",메인!$F$6="RL"),9.47%,0))</f>
        <v>0</v>
      </c>
      <c r="M30" s="230" cm="1">
        <f t="array" ref="M30">INDEX(딜러데이터!$70:$70, 1, MATCH(메인!$F$4, 딜러데이터!$1:$1, 0)+M$8)*(1+IF(OR(메인!$F$6="SR",메인!$F$6="RL"),9.47%,0))</f>
        <v>0</v>
      </c>
      <c r="N30" s="213" cm="1">
        <f t="array" ref="N30">INDEX(딜러데이터!$70:$70, 1, MATCH(메인!$F$4, 딜러데이터!$1:$1, 0)+N$8)*(1+IF(OR(메인!$F$6="SR",메인!$F$6="RL"),9.47%,0))</f>
        <v>2.1894</v>
      </c>
      <c r="O30" s="213" cm="1">
        <f t="array" ref="O30">INDEX(딜러데이터!$70:$70, 1, MATCH(메인!$F$4, 딜러데이터!$1:$1, 0)+O$8)*(1+IF(OR(메인!$F$6="SR",메인!$F$6="RL"),9.47%,0))</f>
        <v>2.1894</v>
      </c>
      <c r="P30" s="213" cm="1">
        <f t="array" ref="P30">INDEX(딜러데이터!$70:$70, 1, MATCH(메인!$F$4, 딜러데이터!$1:$1, 0)+P$8)*(1+IF(OR(메인!$F$6="SR",메인!$F$6="RL"),9.47%,0))</f>
        <v>0</v>
      </c>
      <c r="Q30" s="213" cm="1">
        <f t="array" ref="Q30">INDEX(딜러데이터!$70:$70, 1, MATCH(메인!$F$4, 딜러데이터!$1:$1, 0)+Q$8)*(1+IF(OR(메인!$F$6="SR",메인!$F$6="RL"),9.47%,0))</f>
        <v>0</v>
      </c>
      <c r="R30" s="213" cm="1">
        <f t="array" ref="R30">INDEX(딜러데이터!$70:$70, 1, MATCH(메인!$F$4, 딜러데이터!$1:$1, 0)+R$8)*(1+IF(OR(메인!$F$6="SR",메인!$F$6="RL"),9.47%,0))</f>
        <v>2.1894</v>
      </c>
      <c r="S30" s="213" cm="1">
        <f t="array" ref="S30">INDEX(딜러데이터!$70:$70, 1, MATCH(메인!$F$4, 딜러데이터!$1:$1, 0)+S$8)*(1+IF(OR(메인!$F$6="SR",메인!$F$6="RL"),9.47%,0))</f>
        <v>2.1894</v>
      </c>
      <c r="T30" s="213" cm="1">
        <f t="array" ref="T30">INDEX(딜러데이터!$70:$70, 1, MATCH(메인!$F$4, 딜러데이터!$1:$1, 0)+T$8)*(1+IF(OR(메인!$F$6="SR",메인!$F$6="RL"),9.47%,0))</f>
        <v>0</v>
      </c>
      <c r="U30" s="213" cm="1">
        <f t="array" ref="U30">INDEX(딜러데이터!$70:$70, 1, MATCH(메인!$F$4, 딜러데이터!$1:$1, 0)+U$8)*(1+IF(OR(메인!$F$6="SR",메인!$F$6="RL"),9.47%,0))</f>
        <v>0</v>
      </c>
    </row>
    <row r="33" spans="1:21" x14ac:dyDescent="0.45">
      <c r="A33" s="271" t="s">
        <v>251</v>
      </c>
      <c r="B33" s="157" t="s">
        <v>252</v>
      </c>
      <c r="C33" s="53">
        <f>버프정리!$D4</f>
        <v>143038.72657999999</v>
      </c>
      <c r="D33" s="53">
        <f>버프정리!$J4</f>
        <v>174856.41675199999</v>
      </c>
      <c r="E33" s="53">
        <f>버프정리!$J4</f>
        <v>174856.41675199999</v>
      </c>
      <c r="F33" s="53">
        <f>버프정리!$J4</f>
        <v>174856.41675199999</v>
      </c>
      <c r="G33" s="53">
        <f>버프정리!$J4</f>
        <v>174856.41675199999</v>
      </c>
      <c r="H33" s="53">
        <f>버프정리!$J4</f>
        <v>174856.41675199999</v>
      </c>
      <c r="I33" s="53">
        <f>버프정리!$P4</f>
        <v>136389.082972</v>
      </c>
      <c r="J33" s="53">
        <f>버프정리!$P4</f>
        <v>136389.082972</v>
      </c>
      <c r="K33" s="53">
        <f>버프정리!$P4</f>
        <v>136389.082972</v>
      </c>
      <c r="L33" s="53">
        <f>버프정리!$P4</f>
        <v>136389.082972</v>
      </c>
      <c r="M33" s="53">
        <f>버프정리!$V4</f>
        <v>76934.667560000002</v>
      </c>
      <c r="N33" s="53">
        <f>버프정리!$AB4</f>
        <v>141804.387242</v>
      </c>
      <c r="O33" s="53">
        <f>버프정리!$AB4</f>
        <v>141804.387242</v>
      </c>
      <c r="P33" s="53">
        <f>버프정리!$AB4</f>
        <v>141804.387242</v>
      </c>
      <c r="Q33" s="53">
        <f>버프정리!$AB4</f>
        <v>141804.387242</v>
      </c>
      <c r="R33" s="53">
        <f>버프정리!$AH4</f>
        <v>103337.05346200001</v>
      </c>
      <c r="S33" s="53">
        <f>버프정리!$AH4</f>
        <v>103337.05346200001</v>
      </c>
      <c r="T33" s="53">
        <f>버프정리!$AH4</f>
        <v>103337.05346200001</v>
      </c>
      <c r="U33" s="53">
        <f>버프정리!$AH4</f>
        <v>103337.05346200001</v>
      </c>
    </row>
    <row r="34" spans="1:21" x14ac:dyDescent="0.45">
      <c r="A34" s="271"/>
      <c r="B34" s="157" t="s">
        <v>253</v>
      </c>
      <c r="C34" s="53">
        <f>버프정리!$D5</f>
        <v>0</v>
      </c>
      <c r="D34" s="53">
        <f>버프정리!$J5</f>
        <v>0</v>
      </c>
      <c r="E34" s="53">
        <f>버프정리!$J5</f>
        <v>0</v>
      </c>
      <c r="F34" s="53">
        <f>버프정리!$J5</f>
        <v>0</v>
      </c>
      <c r="G34" s="53">
        <f>버프정리!$J5</f>
        <v>0</v>
      </c>
      <c r="H34" s="53">
        <f>버프정리!$J5</f>
        <v>0</v>
      </c>
      <c r="I34" s="53">
        <f>버프정리!$P5</f>
        <v>0</v>
      </c>
      <c r="J34" s="53">
        <f>버프정리!$P5</f>
        <v>0</v>
      </c>
      <c r="K34" s="53">
        <f>버프정리!$P5</f>
        <v>0</v>
      </c>
      <c r="L34" s="53">
        <f>버프정리!$P5</f>
        <v>0</v>
      </c>
      <c r="M34" s="53">
        <f>버프정리!$V5</f>
        <v>0</v>
      </c>
      <c r="N34" s="53">
        <f>버프정리!$AB5</f>
        <v>0</v>
      </c>
      <c r="O34" s="53">
        <f>버프정리!$AB5</f>
        <v>0</v>
      </c>
      <c r="P34" s="53">
        <f>버프정리!$AB5</f>
        <v>0</v>
      </c>
      <c r="Q34" s="53">
        <f>버프정리!$AB5</f>
        <v>0</v>
      </c>
      <c r="R34" s="53">
        <f>버프정리!$AH5</f>
        <v>0</v>
      </c>
      <c r="S34" s="53">
        <f>버프정리!$AH5</f>
        <v>0</v>
      </c>
      <c r="T34" s="53">
        <f>버프정리!$AH5</f>
        <v>0</v>
      </c>
      <c r="U34" s="53">
        <f>버프정리!$AH5</f>
        <v>0</v>
      </c>
    </row>
    <row r="35" spans="1:21" x14ac:dyDescent="0.45">
      <c r="A35" s="271"/>
      <c r="B35" s="157" t="s">
        <v>254</v>
      </c>
      <c r="C35" s="53">
        <f>버프정리!$D6</f>
        <v>0</v>
      </c>
      <c r="D35" s="53">
        <f>버프정리!$J6</f>
        <v>0</v>
      </c>
      <c r="E35" s="53">
        <f>버프정리!$J6</f>
        <v>0</v>
      </c>
      <c r="F35" s="53">
        <f>버프정리!$J6</f>
        <v>0</v>
      </c>
      <c r="G35" s="53">
        <f>버프정리!$J6</f>
        <v>0</v>
      </c>
      <c r="H35" s="53">
        <f>버프정리!$J6</f>
        <v>0</v>
      </c>
      <c r="I35" s="53">
        <f>버프정리!$P6</f>
        <v>0</v>
      </c>
      <c r="J35" s="53">
        <f>버프정리!$P6</f>
        <v>0</v>
      </c>
      <c r="K35" s="53">
        <f>버프정리!$P6</f>
        <v>0</v>
      </c>
      <c r="L35" s="53">
        <f>버프정리!$P6</f>
        <v>0</v>
      </c>
      <c r="M35" s="53">
        <f>버프정리!$V6</f>
        <v>0</v>
      </c>
      <c r="N35" s="53">
        <f>버프정리!$AB6</f>
        <v>0</v>
      </c>
      <c r="O35" s="53">
        <f>버프정리!$AB6</f>
        <v>0</v>
      </c>
      <c r="P35" s="53">
        <f>버프정리!$AB6</f>
        <v>0</v>
      </c>
      <c r="Q35" s="53">
        <f>버프정리!$AB6</f>
        <v>0</v>
      </c>
      <c r="R35" s="53">
        <f>버프정리!$AH6</f>
        <v>0</v>
      </c>
      <c r="S35" s="53">
        <f>버프정리!$AH6</f>
        <v>0</v>
      </c>
      <c r="T35" s="53">
        <f>버프정리!$AH6</f>
        <v>0</v>
      </c>
      <c r="U35" s="53">
        <f>버프정리!$AH6</f>
        <v>0</v>
      </c>
    </row>
    <row r="36" spans="1:21" x14ac:dyDescent="0.45">
      <c r="A36" s="267" t="s">
        <v>255</v>
      </c>
      <c r="B36" s="158" t="s">
        <v>256</v>
      </c>
      <c r="C36" s="8">
        <f>버프정리!$D7</f>
        <v>1.5044638851523497</v>
      </c>
      <c r="D36" s="8">
        <f>버프정리!$J7</f>
        <v>1.5044638851523497</v>
      </c>
      <c r="E36" s="8">
        <f>버프정리!$J7</f>
        <v>1.5044638851523497</v>
      </c>
      <c r="F36" s="8">
        <f>버프정리!$J7</f>
        <v>1.5044638851523497</v>
      </c>
      <c r="G36" s="8">
        <f>버프정리!$J7</f>
        <v>1.5044638851523497</v>
      </c>
      <c r="H36" s="8">
        <f>버프정리!$J7</f>
        <v>1.5044638851523497</v>
      </c>
      <c r="I36" s="8">
        <f>버프정리!$P7</f>
        <v>1.5044638851523497</v>
      </c>
      <c r="J36" s="8">
        <f>버프정리!$P7</f>
        <v>1.5044638851523497</v>
      </c>
      <c r="K36" s="8">
        <f>버프정리!$P7</f>
        <v>1.5044638851523497</v>
      </c>
      <c r="L36" s="8">
        <f>버프정리!$P7</f>
        <v>1.5044638851523497</v>
      </c>
      <c r="M36" s="8">
        <f>버프정리!$V7</f>
        <v>0.2</v>
      </c>
      <c r="N36" s="8">
        <f>버프정리!$AB7</f>
        <v>1.5044638851523497</v>
      </c>
      <c r="O36" s="8">
        <f>버프정리!$AB7</f>
        <v>1.5044638851523497</v>
      </c>
      <c r="P36" s="8">
        <f>버프정리!$AB7</f>
        <v>1.5044638851523497</v>
      </c>
      <c r="Q36" s="8">
        <f>버프정리!$AB7</f>
        <v>1.5044638851523497</v>
      </c>
      <c r="R36" s="8">
        <f>버프정리!$AH7</f>
        <v>1.5044638851523497</v>
      </c>
      <c r="S36" s="8">
        <f>버프정리!$AH7</f>
        <v>1.5044638851523497</v>
      </c>
      <c r="T36" s="8">
        <f>버프정리!$AH7</f>
        <v>1.5044638851523497</v>
      </c>
      <c r="U36" s="8">
        <f>버프정리!$AH7</f>
        <v>1.5044638851523497</v>
      </c>
    </row>
    <row r="37" spans="1:21" x14ac:dyDescent="0.45">
      <c r="A37" s="267"/>
      <c r="B37" s="158" t="s">
        <v>257</v>
      </c>
      <c r="C37" s="8">
        <f>버프정리!$D8</f>
        <v>0</v>
      </c>
      <c r="D37" s="8">
        <f>버프정리!$J8</f>
        <v>0</v>
      </c>
      <c r="E37" s="8">
        <f>버프정리!$J8</f>
        <v>0</v>
      </c>
      <c r="F37" s="8">
        <f>버프정리!$J8</f>
        <v>0</v>
      </c>
      <c r="G37" s="8">
        <f>버프정리!$J8</f>
        <v>0</v>
      </c>
      <c r="H37" s="8">
        <f>버프정리!$J8</f>
        <v>0</v>
      </c>
      <c r="I37" s="8">
        <f>버프정리!$P8</f>
        <v>0</v>
      </c>
      <c r="J37" s="8">
        <f>버프정리!$P8</f>
        <v>0</v>
      </c>
      <c r="K37" s="8">
        <f>버프정리!$P8</f>
        <v>0</v>
      </c>
      <c r="L37" s="8">
        <f>버프정리!$P8</f>
        <v>0</v>
      </c>
      <c r="M37" s="8">
        <f>버프정리!$V8</f>
        <v>0</v>
      </c>
      <c r="N37" s="8">
        <f>버프정리!$AB8</f>
        <v>0</v>
      </c>
      <c r="O37" s="8">
        <f>버프정리!$AB8</f>
        <v>0</v>
      </c>
      <c r="P37" s="8">
        <f>버프정리!$AB8</f>
        <v>0</v>
      </c>
      <c r="Q37" s="8">
        <f>버프정리!$AB8</f>
        <v>0</v>
      </c>
      <c r="R37" s="8">
        <f>버프정리!$AH8</f>
        <v>0</v>
      </c>
      <c r="S37" s="8">
        <f>버프정리!$AH8</f>
        <v>0</v>
      </c>
      <c r="T37" s="8">
        <f>버프정리!$AH8</f>
        <v>0</v>
      </c>
      <c r="U37" s="8">
        <f>버프정리!$AH8</f>
        <v>0</v>
      </c>
    </row>
    <row r="38" spans="1:21" x14ac:dyDescent="0.45">
      <c r="A38" s="270" t="s">
        <v>258</v>
      </c>
      <c r="B38" s="157" t="s">
        <v>259</v>
      </c>
      <c r="C38" s="8">
        <f>버프정리!$D9</f>
        <v>0.15040000000000001</v>
      </c>
      <c r="D38" s="8">
        <f>버프정리!$J9</f>
        <v>0.49040000000000006</v>
      </c>
      <c r="E38" s="8">
        <f>버프정리!$J9</f>
        <v>0.49040000000000006</v>
      </c>
      <c r="F38" s="8">
        <f>버프정리!$J9</f>
        <v>0.49040000000000006</v>
      </c>
      <c r="G38" s="8">
        <f>버프정리!$J9</f>
        <v>0.49040000000000006</v>
      </c>
      <c r="H38" s="8">
        <f>버프정리!$J9</f>
        <v>0.49040000000000006</v>
      </c>
      <c r="I38" s="8">
        <f>버프정리!$P9</f>
        <v>0.49040000000000006</v>
      </c>
      <c r="J38" s="8">
        <f>버프정리!$P9</f>
        <v>0.49040000000000006</v>
      </c>
      <c r="K38" s="8">
        <f>버프정리!$P9</f>
        <v>0.49040000000000006</v>
      </c>
      <c r="L38" s="8">
        <f>버프정리!$P9</f>
        <v>0.49040000000000006</v>
      </c>
      <c r="M38" s="8">
        <f>버프정리!$V9</f>
        <v>0</v>
      </c>
      <c r="N38" s="8">
        <f>버프정리!$AB9</f>
        <v>0.34</v>
      </c>
      <c r="O38" s="8">
        <f>버프정리!$AB9</f>
        <v>0.34</v>
      </c>
      <c r="P38" s="8">
        <f>버프정리!$AB9</f>
        <v>0.34</v>
      </c>
      <c r="Q38" s="8">
        <f>버프정리!$AB9</f>
        <v>0.34</v>
      </c>
      <c r="R38" s="8">
        <f>버프정리!$AH9</f>
        <v>0.34</v>
      </c>
      <c r="S38" s="8">
        <f>버프정리!$AH9</f>
        <v>0.34</v>
      </c>
      <c r="T38" s="8">
        <f>버프정리!$AH9</f>
        <v>0.34</v>
      </c>
      <c r="U38" s="8">
        <f>버프정리!$AH9</f>
        <v>0.34</v>
      </c>
    </row>
    <row r="39" spans="1:21" x14ac:dyDescent="0.45">
      <c r="A39" s="267"/>
      <c r="B39" s="157" t="s">
        <v>260</v>
      </c>
      <c r="C39" s="8">
        <f>버프정리!$D10</f>
        <v>0</v>
      </c>
      <c r="D39" s="8">
        <f>버프정리!$J10</f>
        <v>0</v>
      </c>
      <c r="E39" s="8">
        <f>버프정리!$J10</f>
        <v>0</v>
      </c>
      <c r="F39" s="8">
        <f>버프정리!$J10</f>
        <v>0</v>
      </c>
      <c r="G39" s="8">
        <f>버프정리!$J10</f>
        <v>0</v>
      </c>
      <c r="H39" s="8">
        <f>버프정리!$J10</f>
        <v>0</v>
      </c>
      <c r="I39" s="8">
        <f>버프정리!$P10</f>
        <v>0</v>
      </c>
      <c r="J39" s="8">
        <f>버프정리!$P10</f>
        <v>0</v>
      </c>
      <c r="K39" s="8">
        <f>버프정리!$P10</f>
        <v>0</v>
      </c>
      <c r="L39" s="8">
        <f>버프정리!$P10</f>
        <v>0</v>
      </c>
      <c r="M39" s="8">
        <f>버프정리!$V10</f>
        <v>0</v>
      </c>
      <c r="N39" s="8">
        <f>버프정리!$AB10</f>
        <v>0</v>
      </c>
      <c r="O39" s="8">
        <f>버프정리!$AB10</f>
        <v>0</v>
      </c>
      <c r="P39" s="8">
        <f>버프정리!$AB10</f>
        <v>0</v>
      </c>
      <c r="Q39" s="8">
        <f>버프정리!$AB10</f>
        <v>0</v>
      </c>
      <c r="R39" s="8">
        <f>버프정리!$AH10</f>
        <v>0</v>
      </c>
      <c r="S39" s="8">
        <f>버프정리!$AH10</f>
        <v>0</v>
      </c>
      <c r="T39" s="8">
        <f>버프정리!$AH10</f>
        <v>0</v>
      </c>
      <c r="U39" s="8">
        <f>버프정리!$AH10</f>
        <v>0</v>
      </c>
    </row>
    <row r="40" spans="1:21" x14ac:dyDescent="0.45">
      <c r="A40" s="267"/>
      <c r="B40" s="157" t="s">
        <v>261</v>
      </c>
      <c r="C40" s="8">
        <f>버프정리!$D11</f>
        <v>0</v>
      </c>
      <c r="D40" s="8">
        <f>버프정리!$J11</f>
        <v>0</v>
      </c>
      <c r="E40" s="8">
        <f>버프정리!$J11</f>
        <v>0</v>
      </c>
      <c r="F40" s="8">
        <f>버프정리!$J11</f>
        <v>0</v>
      </c>
      <c r="G40" s="8">
        <f>버프정리!$J11</f>
        <v>0</v>
      </c>
      <c r="H40" s="8">
        <f>버프정리!$J11</f>
        <v>0</v>
      </c>
      <c r="I40" s="8">
        <f>버프정리!$P11</f>
        <v>0</v>
      </c>
      <c r="J40" s="8">
        <f>버프정리!$P11</f>
        <v>0</v>
      </c>
      <c r="K40" s="8">
        <f>버프정리!$P11</f>
        <v>0</v>
      </c>
      <c r="L40" s="8">
        <f>버프정리!$P11</f>
        <v>0</v>
      </c>
      <c r="M40" s="8">
        <f>버프정리!$V11</f>
        <v>0</v>
      </c>
      <c r="N40" s="8">
        <f>버프정리!$AB11</f>
        <v>0</v>
      </c>
      <c r="O40" s="8">
        <f>버프정리!$AB11</f>
        <v>0</v>
      </c>
      <c r="P40" s="8">
        <f>버프정리!$AB11</f>
        <v>0</v>
      </c>
      <c r="Q40" s="8">
        <f>버프정리!$AB11</f>
        <v>0</v>
      </c>
      <c r="R40" s="8">
        <f>버프정리!$AH11</f>
        <v>0</v>
      </c>
      <c r="S40" s="8">
        <f>버프정리!$AH11</f>
        <v>0</v>
      </c>
      <c r="T40" s="8">
        <f>버프정리!$AH11</f>
        <v>0</v>
      </c>
      <c r="U40" s="8">
        <f>버프정리!$AH11</f>
        <v>0</v>
      </c>
    </row>
    <row r="41" spans="1:21" x14ac:dyDescent="0.45">
      <c r="A41" s="267"/>
      <c r="B41" s="157" t="s">
        <v>262</v>
      </c>
      <c r="C41" s="8">
        <f>버프정리!$D12</f>
        <v>0</v>
      </c>
      <c r="D41" s="8">
        <f>버프정리!$J12</f>
        <v>0</v>
      </c>
      <c r="E41" s="8">
        <f>버프정리!$J12</f>
        <v>0</v>
      </c>
      <c r="F41" s="8">
        <f>버프정리!$J12</f>
        <v>0</v>
      </c>
      <c r="G41" s="8">
        <f>버프정리!$J12</f>
        <v>0</v>
      </c>
      <c r="H41" s="8">
        <f>버프정리!$J12</f>
        <v>0</v>
      </c>
      <c r="I41" s="8">
        <f>버프정리!$P12</f>
        <v>0</v>
      </c>
      <c r="J41" s="8">
        <f>버프정리!$P12</f>
        <v>0</v>
      </c>
      <c r="K41" s="8">
        <f>버프정리!$P12</f>
        <v>0</v>
      </c>
      <c r="L41" s="8">
        <f>버프정리!$P12</f>
        <v>0</v>
      </c>
      <c r="M41" s="8">
        <f>버프정리!$V12</f>
        <v>0</v>
      </c>
      <c r="N41" s="8">
        <f>버프정리!$AB12</f>
        <v>0</v>
      </c>
      <c r="O41" s="8">
        <f>버프정리!$AB12</f>
        <v>0</v>
      </c>
      <c r="P41" s="8">
        <f>버프정리!$AB12</f>
        <v>0</v>
      </c>
      <c r="Q41" s="8">
        <f>버프정리!$AB12</f>
        <v>0</v>
      </c>
      <c r="R41" s="8">
        <f>버프정리!$AH12</f>
        <v>0</v>
      </c>
      <c r="S41" s="8">
        <f>버프정리!$AH12</f>
        <v>0</v>
      </c>
      <c r="T41" s="8">
        <f>버프정리!$AH12</f>
        <v>0</v>
      </c>
      <c r="U41" s="8">
        <f>버프정리!$AH12</f>
        <v>0</v>
      </c>
    </row>
    <row r="42" spans="1:21" x14ac:dyDescent="0.45">
      <c r="A42" s="267"/>
      <c r="B42" s="157" t="s">
        <v>263</v>
      </c>
      <c r="C42" s="8">
        <f>버프정리!$D13</f>
        <v>0</v>
      </c>
      <c r="D42" s="8">
        <f>버프정리!$J13</f>
        <v>0.92030000000000001</v>
      </c>
      <c r="E42" s="8">
        <f>버프정리!$J13</f>
        <v>0.92030000000000001</v>
      </c>
      <c r="F42" s="8">
        <f>버프정리!$J13</f>
        <v>0.92030000000000001</v>
      </c>
      <c r="G42" s="8">
        <f>버프정리!$J13</f>
        <v>0.92030000000000001</v>
      </c>
      <c r="H42" s="8">
        <f>버프정리!$J13</f>
        <v>0.92030000000000001</v>
      </c>
      <c r="I42" s="8">
        <f>버프정리!$P13</f>
        <v>0.92030000000000001</v>
      </c>
      <c r="J42" s="8">
        <f>버프정리!$P13</f>
        <v>0.92030000000000001</v>
      </c>
      <c r="K42" s="8">
        <f>버프정리!$P13</f>
        <v>0.92030000000000001</v>
      </c>
      <c r="L42" s="8">
        <f>버프정리!$P13</f>
        <v>0.92030000000000001</v>
      </c>
      <c r="M42" s="8">
        <f>버프정리!$V13</f>
        <v>0</v>
      </c>
      <c r="N42" s="8">
        <f>버프정리!$AB13</f>
        <v>0.92030000000000001</v>
      </c>
      <c r="O42" s="8">
        <f>버프정리!$AB13</f>
        <v>0.92030000000000001</v>
      </c>
      <c r="P42" s="8">
        <f>버프정리!$AB13</f>
        <v>0.92030000000000001</v>
      </c>
      <c r="Q42" s="8">
        <f>버프정리!$AB13</f>
        <v>0.92030000000000001</v>
      </c>
      <c r="R42" s="8">
        <f>버프정리!$AH13</f>
        <v>0.92030000000000001</v>
      </c>
      <c r="S42" s="8">
        <f>버프정리!$AH13</f>
        <v>0.92030000000000001</v>
      </c>
      <c r="T42" s="8">
        <f>버프정리!$AH13</f>
        <v>0.92030000000000001</v>
      </c>
      <c r="U42" s="8">
        <f>버프정리!$AH13</f>
        <v>0.92030000000000001</v>
      </c>
    </row>
    <row r="43" spans="1:21" x14ac:dyDescent="0.45">
      <c r="A43" s="267"/>
      <c r="B43" s="157" t="s">
        <v>264</v>
      </c>
      <c r="C43" s="8">
        <f>버프정리!$D14</f>
        <v>0</v>
      </c>
      <c r="D43" s="8">
        <f>버프정리!$J14</f>
        <v>0</v>
      </c>
      <c r="E43" s="8">
        <f>버프정리!$J14</f>
        <v>0</v>
      </c>
      <c r="F43" s="8">
        <f>버프정리!$J14</f>
        <v>0</v>
      </c>
      <c r="G43" s="8">
        <f>버프정리!$J14</f>
        <v>0</v>
      </c>
      <c r="H43" s="8">
        <f>버프정리!$J14</f>
        <v>0</v>
      </c>
      <c r="I43" s="8">
        <f>버프정리!$P14</f>
        <v>0</v>
      </c>
      <c r="J43" s="8">
        <f>버프정리!$P14</f>
        <v>0</v>
      </c>
      <c r="K43" s="8">
        <f>버프정리!$P14</f>
        <v>0</v>
      </c>
      <c r="L43" s="8">
        <f>버프정리!$P14</f>
        <v>0</v>
      </c>
      <c r="M43" s="8">
        <f>버프정리!$V14</f>
        <v>0</v>
      </c>
      <c r="N43" s="8">
        <f>버프정리!$AB14</f>
        <v>0</v>
      </c>
      <c r="O43" s="8">
        <f>버프정리!$AB14</f>
        <v>0</v>
      </c>
      <c r="P43" s="8">
        <f>버프정리!$AB14</f>
        <v>0</v>
      </c>
      <c r="Q43" s="8">
        <f>버프정리!$AB14</f>
        <v>0</v>
      </c>
      <c r="R43" s="8">
        <f>버프정리!$AH14</f>
        <v>0</v>
      </c>
      <c r="S43" s="8">
        <f>버프정리!$AH14</f>
        <v>0</v>
      </c>
      <c r="T43" s="8">
        <f>버프정리!$AH14</f>
        <v>0</v>
      </c>
      <c r="U43" s="8">
        <f>버프정리!$AH14</f>
        <v>0</v>
      </c>
    </row>
    <row r="44" spans="1:21" x14ac:dyDescent="0.45">
      <c r="A44" s="267"/>
      <c r="B44" s="157" t="s">
        <v>265</v>
      </c>
      <c r="C44" s="8">
        <f>버프정리!$D15</f>
        <v>0</v>
      </c>
      <c r="D44" s="8">
        <f>버프정리!$J15</f>
        <v>0</v>
      </c>
      <c r="E44" s="8">
        <f>버프정리!$J15</f>
        <v>0</v>
      </c>
      <c r="F44" s="8">
        <f>버프정리!$J15</f>
        <v>0</v>
      </c>
      <c r="G44" s="8">
        <f>버프정리!$J15</f>
        <v>0</v>
      </c>
      <c r="H44" s="8">
        <f>버프정리!$J15</f>
        <v>0</v>
      </c>
      <c r="I44" s="8">
        <f>버프정리!$P15</f>
        <v>0</v>
      </c>
      <c r="J44" s="8">
        <f>버프정리!$P15</f>
        <v>0</v>
      </c>
      <c r="K44" s="8">
        <f>버프정리!$P15</f>
        <v>0</v>
      </c>
      <c r="L44" s="8">
        <f>버프정리!$P15</f>
        <v>0</v>
      </c>
      <c r="M44" s="8">
        <f>버프정리!$V15</f>
        <v>0</v>
      </c>
      <c r="N44" s="8">
        <f>버프정리!$AB15</f>
        <v>0</v>
      </c>
      <c r="O44" s="8">
        <f>버프정리!$AB15</f>
        <v>0</v>
      </c>
      <c r="P44" s="8">
        <f>버프정리!$AB15</f>
        <v>0</v>
      </c>
      <c r="Q44" s="8">
        <f>버프정리!$AB15</f>
        <v>0</v>
      </c>
      <c r="R44" s="8">
        <f>버프정리!$AH15</f>
        <v>0</v>
      </c>
      <c r="S44" s="8">
        <f>버프정리!$AH15</f>
        <v>0</v>
      </c>
      <c r="T44" s="8">
        <f>버프정리!$AH15</f>
        <v>0</v>
      </c>
      <c r="U44" s="8">
        <f>버프정리!$AH15</f>
        <v>0</v>
      </c>
    </row>
    <row r="45" spans="1:21" x14ac:dyDescent="0.45">
      <c r="A45" s="267"/>
      <c r="B45" s="17" t="s">
        <v>266</v>
      </c>
      <c r="C45" s="8">
        <f>버프정리!$D16</f>
        <v>0</v>
      </c>
      <c r="D45" s="8">
        <f>버프정리!$J16</f>
        <v>0</v>
      </c>
      <c r="E45" s="8">
        <f>버프정리!$J16</f>
        <v>0</v>
      </c>
      <c r="F45" s="8">
        <f>버프정리!$J16</f>
        <v>0</v>
      </c>
      <c r="G45" s="8">
        <f>버프정리!$J16</f>
        <v>0</v>
      </c>
      <c r="H45" s="8">
        <f>버프정리!$J16</f>
        <v>0</v>
      </c>
      <c r="I45" s="8">
        <f>버프정리!$P16</f>
        <v>0</v>
      </c>
      <c r="J45" s="8">
        <f>버프정리!$P16</f>
        <v>0</v>
      </c>
      <c r="K45" s="8">
        <f>버프정리!$P16</f>
        <v>0</v>
      </c>
      <c r="L45" s="8">
        <f>버프정리!$P16</f>
        <v>0</v>
      </c>
      <c r="M45" s="8">
        <f>버프정리!$V16</f>
        <v>0</v>
      </c>
      <c r="N45" s="8">
        <f>버프정리!$AB16</f>
        <v>0</v>
      </c>
      <c r="O45" s="8">
        <f>버프정리!$AB16</f>
        <v>0</v>
      </c>
      <c r="P45" s="8">
        <f>버프정리!$AB16</f>
        <v>0</v>
      </c>
      <c r="Q45" s="8">
        <f>버프정리!$AB16</f>
        <v>0</v>
      </c>
      <c r="R45" s="8">
        <f>버프정리!$AH16</f>
        <v>0</v>
      </c>
      <c r="S45" s="8">
        <f>버프정리!$AH16</f>
        <v>0</v>
      </c>
      <c r="T45" s="8">
        <f>버프정리!$AH16</f>
        <v>0</v>
      </c>
      <c r="U45" s="8">
        <f>버프정리!$AH16</f>
        <v>0</v>
      </c>
    </row>
    <row r="46" spans="1:21" x14ac:dyDescent="0.45">
      <c r="A46" s="267"/>
      <c r="B46" s="15" t="s">
        <v>267</v>
      </c>
      <c r="C46" s="8">
        <f>버프정리!$D17</f>
        <v>0</v>
      </c>
      <c r="D46" s="8">
        <f>버프정리!$J17</f>
        <v>0</v>
      </c>
      <c r="E46" s="8">
        <f>버프정리!$J17</f>
        <v>0</v>
      </c>
      <c r="F46" s="8">
        <f>버프정리!$J17</f>
        <v>0</v>
      </c>
      <c r="G46" s="8">
        <f>버프정리!$J17</f>
        <v>0</v>
      </c>
      <c r="H46" s="8">
        <f>버프정리!$J17</f>
        <v>0</v>
      </c>
      <c r="I46" s="8">
        <f>버프정리!$P17</f>
        <v>0</v>
      </c>
      <c r="J46" s="8">
        <f>버프정리!$P17</f>
        <v>0</v>
      </c>
      <c r="K46" s="8">
        <f>버프정리!$P17</f>
        <v>0</v>
      </c>
      <c r="L46" s="8">
        <f>버프정리!$P17</f>
        <v>0</v>
      </c>
      <c r="M46" s="8">
        <f>버프정리!$V17</f>
        <v>0</v>
      </c>
      <c r="N46" s="8">
        <f>버프정리!$AB17</f>
        <v>0</v>
      </c>
      <c r="O46" s="8">
        <f>버프정리!$AB17</f>
        <v>0</v>
      </c>
      <c r="P46" s="8">
        <f>버프정리!$AB17</f>
        <v>0</v>
      </c>
      <c r="Q46" s="8">
        <f>버프정리!$AB17</f>
        <v>0</v>
      </c>
      <c r="R46" s="8">
        <f>버프정리!$AH17</f>
        <v>0</v>
      </c>
      <c r="S46" s="8">
        <f>버프정리!$AH17</f>
        <v>0</v>
      </c>
      <c r="T46" s="8">
        <f>버프정리!$AH17</f>
        <v>0</v>
      </c>
      <c r="U46" s="8">
        <f>버프정리!$AH17</f>
        <v>0</v>
      </c>
    </row>
    <row r="47" spans="1:21" x14ac:dyDescent="0.45">
      <c r="A47" s="267"/>
      <c r="B47" s="15" t="s">
        <v>268</v>
      </c>
      <c r="C47" s="8">
        <f>버프정리!$D18</f>
        <v>0</v>
      </c>
      <c r="D47" s="8">
        <f>버프정리!$J18</f>
        <v>0</v>
      </c>
      <c r="E47" s="8">
        <f>버프정리!$J18</f>
        <v>0</v>
      </c>
      <c r="F47" s="8">
        <f>버프정리!$J18</f>
        <v>0</v>
      </c>
      <c r="G47" s="8">
        <f>버프정리!$J18</f>
        <v>0</v>
      </c>
      <c r="H47" s="8">
        <f>버프정리!$J18</f>
        <v>0</v>
      </c>
      <c r="I47" s="8">
        <f>버프정리!$P18</f>
        <v>0</v>
      </c>
      <c r="J47" s="8">
        <f>버프정리!$P18</f>
        <v>0</v>
      </c>
      <c r="K47" s="8">
        <f>버프정리!$P18</f>
        <v>0</v>
      </c>
      <c r="L47" s="8">
        <f>버프정리!$P18</f>
        <v>0</v>
      </c>
      <c r="M47" s="8">
        <f>버프정리!$V18</f>
        <v>0</v>
      </c>
      <c r="N47" s="8">
        <f>버프정리!$AB18</f>
        <v>0</v>
      </c>
      <c r="O47" s="8">
        <f>버프정리!$AB18</f>
        <v>0</v>
      </c>
      <c r="P47" s="8">
        <f>버프정리!$AB18</f>
        <v>0</v>
      </c>
      <c r="Q47" s="8">
        <f>버프정리!$AB18</f>
        <v>0</v>
      </c>
      <c r="R47" s="8">
        <f>버프정리!$AH18</f>
        <v>0</v>
      </c>
      <c r="S47" s="8">
        <f>버프정리!$AH18</f>
        <v>0</v>
      </c>
      <c r="T47" s="8">
        <f>버프정리!$AH18</f>
        <v>0</v>
      </c>
      <c r="U47" s="8">
        <f>버프정리!$AH18</f>
        <v>0</v>
      </c>
    </row>
    <row r="48" spans="1:21" x14ac:dyDescent="0.45">
      <c r="A48" s="267"/>
      <c r="B48" s="17" t="s">
        <v>269</v>
      </c>
      <c r="C48" s="8">
        <f>버프정리!$D19</f>
        <v>0.45090000000000002</v>
      </c>
      <c r="D48" s="8">
        <f>버프정리!$J19</f>
        <v>0.75490000000000002</v>
      </c>
      <c r="E48" s="8">
        <f>버프정리!$J19</f>
        <v>0.75490000000000002</v>
      </c>
      <c r="F48" s="8">
        <f>버프정리!$J19</f>
        <v>0.75490000000000002</v>
      </c>
      <c r="G48" s="8">
        <f>버프정리!$J19</f>
        <v>0.75490000000000002</v>
      </c>
      <c r="H48" s="8">
        <f>버프정리!$J19</f>
        <v>0.75490000000000002</v>
      </c>
      <c r="I48" s="8">
        <f>버프정리!$P19</f>
        <v>0.75490000000000002</v>
      </c>
      <c r="J48" s="8">
        <f>버프정리!$P19</f>
        <v>0.75490000000000002</v>
      </c>
      <c r="K48" s="8">
        <f>버프정리!$P19</f>
        <v>0.75490000000000002</v>
      </c>
      <c r="L48" s="8">
        <f>버프정리!$P19</f>
        <v>0.75490000000000002</v>
      </c>
      <c r="M48" s="8">
        <f>버프정리!$V19</f>
        <v>0</v>
      </c>
      <c r="N48" s="8">
        <f>버프정리!$AB19</f>
        <v>0.75490000000000002</v>
      </c>
      <c r="O48" s="8">
        <f>버프정리!$AB19</f>
        <v>0.75490000000000002</v>
      </c>
      <c r="P48" s="8">
        <f>버프정리!$AB19</f>
        <v>0.75490000000000002</v>
      </c>
      <c r="Q48" s="8">
        <f>버프정리!$AB19</f>
        <v>0.75490000000000002</v>
      </c>
      <c r="R48" s="8">
        <f>버프정리!$AH19</f>
        <v>0.75490000000000002</v>
      </c>
      <c r="S48" s="8">
        <f>버프정리!$AH19</f>
        <v>0.75490000000000002</v>
      </c>
      <c r="T48" s="8">
        <f>버프정리!$AH19</f>
        <v>0.75490000000000002</v>
      </c>
      <c r="U48" s="8">
        <f>버프정리!$AH19</f>
        <v>0.75490000000000002</v>
      </c>
    </row>
    <row r="49" spans="1:21" x14ac:dyDescent="0.45">
      <c r="A49" s="241" t="s">
        <v>270</v>
      </c>
      <c r="B49" s="21" t="s">
        <v>271</v>
      </c>
      <c r="C49" s="8">
        <f>버프정리!$D20</f>
        <v>0</v>
      </c>
      <c r="D49" s="8">
        <f>버프정리!$J20</f>
        <v>0</v>
      </c>
      <c r="E49" s="8">
        <f>버프정리!$J20</f>
        <v>0</v>
      </c>
      <c r="F49" s="8">
        <f>버프정리!$J20</f>
        <v>0</v>
      </c>
      <c r="G49" s="8">
        <f>버프정리!$J20</f>
        <v>0</v>
      </c>
      <c r="H49" s="8">
        <f>버프정리!$J20</f>
        <v>0</v>
      </c>
      <c r="I49" s="8">
        <f>버프정리!$P20</f>
        <v>0</v>
      </c>
      <c r="J49" s="8">
        <f>버프정리!$P20</f>
        <v>0</v>
      </c>
      <c r="K49" s="8">
        <f>버프정리!$P20</f>
        <v>0</v>
      </c>
      <c r="L49" s="8">
        <f>버프정리!$P20</f>
        <v>0</v>
      </c>
      <c r="M49" s="8">
        <f>버프정리!$V20</f>
        <v>0</v>
      </c>
      <c r="N49" s="8">
        <f>버프정리!$AB20</f>
        <v>0</v>
      </c>
      <c r="O49" s="8">
        <f>버프정리!$AB20</f>
        <v>0</v>
      </c>
      <c r="P49" s="8">
        <f>버프정리!$AB20</f>
        <v>0</v>
      </c>
      <c r="Q49" s="8">
        <f>버프정리!$AB20</f>
        <v>0</v>
      </c>
      <c r="R49" s="8">
        <f>버프정리!$AH20</f>
        <v>0</v>
      </c>
      <c r="S49" s="8">
        <f>버프정리!$AH20</f>
        <v>0</v>
      </c>
      <c r="T49" s="8">
        <f>버프정리!$AH20</f>
        <v>0</v>
      </c>
      <c r="U49" s="8">
        <f>버프정리!$AH20</f>
        <v>0</v>
      </c>
    </row>
    <row r="50" spans="1:21" x14ac:dyDescent="0.45">
      <c r="A50" s="267" t="s">
        <v>272</v>
      </c>
      <c r="B50" s="21" t="s">
        <v>273</v>
      </c>
      <c r="C50" s="8">
        <f>버프정리!$D21</f>
        <v>0.20050000000000001</v>
      </c>
      <c r="D50" s="8">
        <f>버프정리!$J21</f>
        <v>0.20050000000000001</v>
      </c>
      <c r="E50" s="8">
        <f>버프정리!$J21</f>
        <v>0.20050000000000001</v>
      </c>
      <c r="F50" s="8">
        <f>버프정리!$J21</f>
        <v>0.20050000000000001</v>
      </c>
      <c r="G50" s="8">
        <f>버프정리!$J21</f>
        <v>0.20050000000000001</v>
      </c>
      <c r="H50" s="8">
        <f>버프정리!$J21</f>
        <v>0.20050000000000001</v>
      </c>
      <c r="I50" s="8">
        <f>버프정리!$P21</f>
        <v>0.20050000000000001</v>
      </c>
      <c r="J50" s="8">
        <f>버프정리!$P21</f>
        <v>0.20050000000000001</v>
      </c>
      <c r="K50" s="8">
        <f>버프정리!$P21</f>
        <v>0.20050000000000001</v>
      </c>
      <c r="L50" s="8">
        <f>버프정리!$P21</f>
        <v>0.20050000000000001</v>
      </c>
      <c r="M50" s="8">
        <f>버프정리!$V21</f>
        <v>0.20050000000000001</v>
      </c>
      <c r="N50" s="8">
        <f>버프정리!$AB21</f>
        <v>0.20050000000000001</v>
      </c>
      <c r="O50" s="8">
        <f>버프정리!$AB21</f>
        <v>0.20050000000000001</v>
      </c>
      <c r="P50" s="8">
        <f>버프정리!$AB21</f>
        <v>0.20050000000000001</v>
      </c>
      <c r="Q50" s="8">
        <f>버프정리!$AB21</f>
        <v>0.20050000000000001</v>
      </c>
      <c r="R50" s="8">
        <f>버프정리!$AH21</f>
        <v>0.20050000000000001</v>
      </c>
      <c r="S50" s="8">
        <f>버프정리!$AH21</f>
        <v>0.20050000000000001</v>
      </c>
      <c r="T50" s="8">
        <f>버프정리!$AH21</f>
        <v>0.20050000000000001</v>
      </c>
      <c r="U50" s="8">
        <f>버프정리!$AH21</f>
        <v>0.20050000000000001</v>
      </c>
    </row>
    <row r="51" spans="1:21" x14ac:dyDescent="0.45">
      <c r="A51" s="267"/>
      <c r="B51" s="17" t="s">
        <v>274</v>
      </c>
      <c r="C51" s="8">
        <f>버프정리!$D22</f>
        <v>0</v>
      </c>
      <c r="D51" s="8">
        <f>버프정리!$J22</f>
        <v>0</v>
      </c>
      <c r="E51" s="8">
        <f>버프정리!$J22</f>
        <v>0</v>
      </c>
      <c r="F51" s="8">
        <f>버프정리!$J22</f>
        <v>0</v>
      </c>
      <c r="G51" s="8">
        <f>버프정리!$J22</f>
        <v>0</v>
      </c>
      <c r="H51" s="8">
        <f>버프정리!$J22</f>
        <v>0</v>
      </c>
      <c r="I51" s="8">
        <f>버프정리!$P22</f>
        <v>0</v>
      </c>
      <c r="J51" s="8">
        <f>버프정리!$P22</f>
        <v>0</v>
      </c>
      <c r="K51" s="8">
        <f>버프정리!$P22</f>
        <v>0</v>
      </c>
      <c r="L51" s="8">
        <f>버프정리!$P22</f>
        <v>0</v>
      </c>
      <c r="M51" s="8">
        <f>버프정리!$V22</f>
        <v>0</v>
      </c>
      <c r="N51" s="8">
        <f>버프정리!$AB22</f>
        <v>0</v>
      </c>
      <c r="O51" s="8">
        <f>버프정리!$AB22</f>
        <v>0</v>
      </c>
      <c r="P51" s="8">
        <f>버프정리!$AB22</f>
        <v>0</v>
      </c>
      <c r="Q51" s="8">
        <f>버프정리!$AB22</f>
        <v>0</v>
      </c>
      <c r="R51" s="8">
        <f>버프정리!$AH22</f>
        <v>0</v>
      </c>
      <c r="S51" s="8">
        <f>버프정리!$AH22</f>
        <v>0</v>
      </c>
      <c r="T51" s="8">
        <f>버프정리!$AH22</f>
        <v>0</v>
      </c>
      <c r="U51" s="8">
        <f>버프정리!$AH22</f>
        <v>0</v>
      </c>
    </row>
    <row r="52" spans="1:21" x14ac:dyDescent="0.45">
      <c r="A52" s="267"/>
      <c r="B52" s="17" t="s">
        <v>275</v>
      </c>
      <c r="C52" s="8">
        <f>버프정리!$D23</f>
        <v>0.40039999999999998</v>
      </c>
      <c r="D52" s="8">
        <f>버프정리!$J23</f>
        <v>0.40039999999999998</v>
      </c>
      <c r="E52" s="8">
        <f>버프정리!$J23</f>
        <v>0.40039999999999998</v>
      </c>
      <c r="F52" s="8">
        <f>버프정리!$J23</f>
        <v>0.40039999999999998</v>
      </c>
      <c r="G52" s="8">
        <f>버프정리!$J23</f>
        <v>0.40039999999999998</v>
      </c>
      <c r="H52" s="8">
        <f>버프정리!$J23</f>
        <v>0.40039999999999998</v>
      </c>
      <c r="I52" s="8">
        <f>버프정리!$P23</f>
        <v>0.40039999999999998</v>
      </c>
      <c r="J52" s="8">
        <f>버프정리!$P23</f>
        <v>0.40039999999999998</v>
      </c>
      <c r="K52" s="8">
        <f>버프정리!$P23</f>
        <v>0.40039999999999998</v>
      </c>
      <c r="L52" s="8">
        <f>버프정리!$P23</f>
        <v>0.40039999999999998</v>
      </c>
      <c r="M52" s="8">
        <f>버프정리!$V23</f>
        <v>0</v>
      </c>
      <c r="N52" s="8">
        <f>버프정리!$AB23</f>
        <v>0</v>
      </c>
      <c r="O52" s="8">
        <f>버프정리!$AB23</f>
        <v>0</v>
      </c>
      <c r="P52" s="8">
        <f>버프정리!$AB23</f>
        <v>0</v>
      </c>
      <c r="Q52" s="8">
        <f>버프정리!$AB23</f>
        <v>0</v>
      </c>
      <c r="R52" s="8">
        <f>버프정리!$AH23</f>
        <v>0</v>
      </c>
      <c r="S52" s="8">
        <f>버프정리!$AH23</f>
        <v>0</v>
      </c>
      <c r="T52" s="8">
        <f>버프정리!$AH23</f>
        <v>0</v>
      </c>
      <c r="U52" s="8">
        <f>버프정리!$AH23</f>
        <v>0</v>
      </c>
    </row>
    <row r="53" spans="1:21" x14ac:dyDescent="0.45">
      <c r="A53" s="267"/>
      <c r="B53" s="17" t="s">
        <v>276</v>
      </c>
      <c r="C53" s="8">
        <f>버프정리!$D24</f>
        <v>0</v>
      </c>
      <c r="D53" s="8">
        <f>버프정리!$J24</f>
        <v>0</v>
      </c>
      <c r="E53" s="8">
        <f>버프정리!$J24</f>
        <v>0</v>
      </c>
      <c r="F53" s="8">
        <f>버프정리!$J24</f>
        <v>0</v>
      </c>
      <c r="G53" s="8">
        <f>버프정리!$J24</f>
        <v>0</v>
      </c>
      <c r="H53" s="8">
        <f>버프정리!$J24</f>
        <v>0</v>
      </c>
      <c r="I53" s="8">
        <f>버프정리!$P24</f>
        <v>0</v>
      </c>
      <c r="J53" s="8">
        <f>버프정리!$P24</f>
        <v>0</v>
      </c>
      <c r="K53" s="8">
        <f>버프정리!$P24</f>
        <v>0</v>
      </c>
      <c r="L53" s="8">
        <f>버프정리!$P24</f>
        <v>0</v>
      </c>
      <c r="M53" s="8">
        <f>버프정리!$V24</f>
        <v>0</v>
      </c>
      <c r="N53" s="8">
        <f>버프정리!$AB24</f>
        <v>0</v>
      </c>
      <c r="O53" s="8">
        <f>버프정리!$AB24</f>
        <v>0</v>
      </c>
      <c r="P53" s="8">
        <f>버프정리!$AB24</f>
        <v>0</v>
      </c>
      <c r="Q53" s="8">
        <f>버프정리!$AB24</f>
        <v>0</v>
      </c>
      <c r="R53" s="8">
        <f>버프정리!$AH24</f>
        <v>0</v>
      </c>
      <c r="S53" s="8">
        <f>버프정리!$AH24</f>
        <v>0</v>
      </c>
      <c r="T53" s="8">
        <f>버프정리!$AH24</f>
        <v>0</v>
      </c>
      <c r="U53" s="8">
        <f>버프정리!$AH24</f>
        <v>0</v>
      </c>
    </row>
    <row r="54" spans="1:21" x14ac:dyDescent="0.45">
      <c r="A54" s="270" t="s">
        <v>277</v>
      </c>
      <c r="B54" s="21" t="s">
        <v>278</v>
      </c>
      <c r="C54" s="8">
        <f>버프정리!$D25</f>
        <v>0</v>
      </c>
      <c r="D54" s="8">
        <f>버프정리!$J25</f>
        <v>0</v>
      </c>
      <c r="E54" s="8">
        <f>버프정리!$J25</f>
        <v>0</v>
      </c>
      <c r="F54" s="8">
        <f>버프정리!$J25</f>
        <v>0</v>
      </c>
      <c r="G54" s="8">
        <f>버프정리!$J25</f>
        <v>0</v>
      </c>
      <c r="H54" s="8">
        <f>버프정리!$J25</f>
        <v>0</v>
      </c>
      <c r="I54" s="8">
        <f>버프정리!$P25</f>
        <v>0</v>
      </c>
      <c r="J54" s="8">
        <f>버프정리!$P25</f>
        <v>0</v>
      </c>
      <c r="K54" s="8">
        <f>버프정리!$P25</f>
        <v>0</v>
      </c>
      <c r="L54" s="8">
        <f>버프정리!$P25</f>
        <v>0</v>
      </c>
      <c r="M54" s="8">
        <f>버프정리!$V25</f>
        <v>0</v>
      </c>
      <c r="N54" s="8">
        <f>버프정리!$AB25</f>
        <v>0</v>
      </c>
      <c r="O54" s="8">
        <f>버프정리!$AB25</f>
        <v>0</v>
      </c>
      <c r="P54" s="8">
        <f>버프정리!$AB25</f>
        <v>0</v>
      </c>
      <c r="Q54" s="8">
        <f>버프정리!$AB25</f>
        <v>0</v>
      </c>
      <c r="R54" s="8">
        <f>버프정리!$AH25</f>
        <v>0</v>
      </c>
      <c r="S54" s="8">
        <f>버프정리!$AH25</f>
        <v>0</v>
      </c>
      <c r="T54" s="8">
        <f>버프정리!$AH25</f>
        <v>0</v>
      </c>
      <c r="U54" s="8">
        <f>버프정리!$AH25</f>
        <v>0</v>
      </c>
    </row>
    <row r="55" spans="1:21" x14ac:dyDescent="0.45">
      <c r="A55" s="270"/>
      <c r="B55" s="17" t="s">
        <v>279</v>
      </c>
      <c r="C55" s="8">
        <f>버프정리!$D26</f>
        <v>0</v>
      </c>
      <c r="D55" s="8">
        <f>버프정리!$J26</f>
        <v>0</v>
      </c>
      <c r="E55" s="8">
        <f>버프정리!$J26</f>
        <v>0</v>
      </c>
      <c r="F55" s="8">
        <f>버프정리!$J26</f>
        <v>0</v>
      </c>
      <c r="G55" s="8">
        <f>버프정리!$J26</f>
        <v>0</v>
      </c>
      <c r="H55" s="8">
        <f>버프정리!$J26</f>
        <v>0</v>
      </c>
      <c r="I55" s="8">
        <f>버프정리!$P26</f>
        <v>0</v>
      </c>
      <c r="J55" s="8">
        <f>버프정리!$P26</f>
        <v>0</v>
      </c>
      <c r="K55" s="8">
        <f>버프정리!$P26</f>
        <v>0</v>
      </c>
      <c r="L55" s="8">
        <f>버프정리!$P26</f>
        <v>0</v>
      </c>
      <c r="M55" s="8">
        <f>버프정리!$V26</f>
        <v>0</v>
      </c>
      <c r="N55" s="8">
        <f>버프정리!$AB26</f>
        <v>0</v>
      </c>
      <c r="O55" s="8">
        <f>버프정리!$AB26</f>
        <v>0</v>
      </c>
      <c r="P55" s="8">
        <f>버프정리!$AB26</f>
        <v>0</v>
      </c>
      <c r="Q55" s="8">
        <f>버프정리!$AB26</f>
        <v>0</v>
      </c>
      <c r="R55" s="8">
        <f>버프정리!$AH26</f>
        <v>0</v>
      </c>
      <c r="S55" s="8">
        <f>버프정리!$AH26</f>
        <v>0</v>
      </c>
      <c r="T55" s="8">
        <f>버프정리!$AH26</f>
        <v>0</v>
      </c>
      <c r="U55" s="8">
        <f>버프정리!$AH26</f>
        <v>0</v>
      </c>
    </row>
    <row r="56" spans="1:21" x14ac:dyDescent="0.45">
      <c r="A56" s="267" t="s">
        <v>280</v>
      </c>
      <c r="B56" s="21" t="s">
        <v>281</v>
      </c>
      <c r="C56" s="8">
        <f>버프정리!$D27</f>
        <v>0</v>
      </c>
      <c r="D56" s="8">
        <f>버프정리!$J27</f>
        <v>0</v>
      </c>
      <c r="E56" s="8">
        <f>버프정리!$J27</f>
        <v>0</v>
      </c>
      <c r="F56" s="8">
        <f>버프정리!$J27</f>
        <v>0</v>
      </c>
      <c r="G56" s="8">
        <f>버프정리!$J27</f>
        <v>0</v>
      </c>
      <c r="H56" s="8">
        <f>버프정리!$J27</f>
        <v>0</v>
      </c>
      <c r="I56" s="8">
        <f>버프정리!$P27</f>
        <v>0</v>
      </c>
      <c r="J56" s="8">
        <f>버프정리!$P27</f>
        <v>0</v>
      </c>
      <c r="K56" s="8">
        <f>버프정리!$P27</f>
        <v>0</v>
      </c>
      <c r="L56" s="8">
        <f>버프정리!$P27</f>
        <v>0</v>
      </c>
      <c r="M56" s="8">
        <f>버프정리!$V27</f>
        <v>0</v>
      </c>
      <c r="N56" s="8">
        <f>버프정리!$AB27</f>
        <v>1.3661202185792349</v>
      </c>
      <c r="O56" s="8">
        <f>버프정리!$AB27</f>
        <v>1.3661202185792349</v>
      </c>
      <c r="P56" s="8">
        <f>버프정리!$AB27</f>
        <v>1.3661202185792349</v>
      </c>
      <c r="Q56" s="8">
        <f>버프정리!$AB27</f>
        <v>1.3661202185792349</v>
      </c>
      <c r="R56" s="8">
        <f>버프정리!$AH27</f>
        <v>0</v>
      </c>
      <c r="S56" s="8">
        <f>버프정리!$AH27</f>
        <v>0</v>
      </c>
      <c r="T56" s="8">
        <f>버프정리!$AH27</f>
        <v>0</v>
      </c>
      <c r="U56" s="8">
        <f>버프정리!$AH27</f>
        <v>0</v>
      </c>
    </row>
    <row r="57" spans="1:21" x14ac:dyDescent="0.45">
      <c r="A57" s="267"/>
      <c r="B57" s="17" t="s">
        <v>282</v>
      </c>
      <c r="C57" s="69">
        <f>버프정리!$D28</f>
        <v>0</v>
      </c>
      <c r="D57" s="69">
        <f>버프정리!$J28</f>
        <v>0</v>
      </c>
      <c r="E57" s="69">
        <f>버프정리!$J28</f>
        <v>0</v>
      </c>
      <c r="F57" s="69">
        <f>버프정리!$J28</f>
        <v>0</v>
      </c>
      <c r="G57" s="69">
        <f>버프정리!$J28</f>
        <v>0</v>
      </c>
      <c r="H57" s="69">
        <f>버프정리!$J28</f>
        <v>0</v>
      </c>
      <c r="I57" s="69">
        <f>버프정리!$P28</f>
        <v>0</v>
      </c>
      <c r="J57" s="69">
        <f>버프정리!$P28</f>
        <v>0</v>
      </c>
      <c r="K57" s="69">
        <f>버프정리!$P28</f>
        <v>0</v>
      </c>
      <c r="L57" s="69">
        <f>버프정리!$P28</f>
        <v>0</v>
      </c>
      <c r="M57" s="69">
        <f>버프정리!$V28</f>
        <v>0</v>
      </c>
      <c r="N57" s="69">
        <f>버프정리!$AB28</f>
        <v>0</v>
      </c>
      <c r="O57" s="69">
        <f>버프정리!$AB28</f>
        <v>0</v>
      </c>
      <c r="P57" s="69">
        <f>버프정리!$AB28</f>
        <v>0</v>
      </c>
      <c r="Q57" s="69">
        <f>버프정리!$AB28</f>
        <v>0</v>
      </c>
      <c r="R57" s="69">
        <f>버프정리!$AH28</f>
        <v>0</v>
      </c>
      <c r="S57" s="69">
        <f>버프정리!$AH28</f>
        <v>0</v>
      </c>
      <c r="T57" s="69">
        <f>버프정리!$AH28</f>
        <v>0</v>
      </c>
      <c r="U57" s="69">
        <f>버프정리!$AH28</f>
        <v>0</v>
      </c>
    </row>
    <row r="58" spans="1:21" x14ac:dyDescent="0.45">
      <c r="A58" s="267"/>
      <c r="B58" s="17" t="s">
        <v>227</v>
      </c>
      <c r="C58" s="8">
        <f>버프정리!$D29</f>
        <v>1</v>
      </c>
      <c r="D58" s="8">
        <f>버프정리!$J29</f>
        <v>1</v>
      </c>
      <c r="E58" s="8">
        <f>버프정리!$J29</f>
        <v>1</v>
      </c>
      <c r="F58" s="8">
        <f>버프정리!$J29</f>
        <v>1</v>
      </c>
      <c r="G58" s="8">
        <f>버프정리!$J29</f>
        <v>1</v>
      </c>
      <c r="H58" s="8">
        <f>버프정리!$J29</f>
        <v>1</v>
      </c>
      <c r="I58" s="8">
        <f>버프정리!$P29</f>
        <v>1</v>
      </c>
      <c r="J58" s="8">
        <f>버프정리!$P29</f>
        <v>1</v>
      </c>
      <c r="K58" s="8">
        <f>버프정리!$P29</f>
        <v>1</v>
      </c>
      <c r="L58" s="8">
        <f>버프정리!$P29</f>
        <v>1</v>
      </c>
      <c r="M58" s="8">
        <f>버프정리!$V29</f>
        <v>1</v>
      </c>
      <c r="N58" s="8">
        <f>버프정리!$AB29</f>
        <v>1</v>
      </c>
      <c r="O58" s="8">
        <f>버프정리!$AB29</f>
        <v>1</v>
      </c>
      <c r="P58" s="8">
        <f>버프정리!$AB29</f>
        <v>1</v>
      </c>
      <c r="Q58" s="8">
        <f>버프정리!$AB29</f>
        <v>1</v>
      </c>
      <c r="R58" s="8">
        <f>버프정리!$AH29</f>
        <v>1</v>
      </c>
      <c r="S58" s="8">
        <f>버프정리!$AH29</f>
        <v>1</v>
      </c>
      <c r="T58" s="8">
        <f>버프정리!$AH29</f>
        <v>1</v>
      </c>
      <c r="U58" s="8">
        <f>버프정리!$AH29</f>
        <v>1</v>
      </c>
    </row>
    <row r="59" spans="1:21" x14ac:dyDescent="0.45">
      <c r="A59" s="267" t="s">
        <v>283</v>
      </c>
      <c r="B59" s="21" t="s">
        <v>284</v>
      </c>
      <c r="C59" s="8">
        <f>버프정리!$D30</f>
        <v>0.9909</v>
      </c>
      <c r="D59" s="8">
        <f>버프정리!$J30</f>
        <v>0.9909</v>
      </c>
      <c r="E59" s="8">
        <f>버프정리!$J30</f>
        <v>0.9909</v>
      </c>
      <c r="F59" s="8">
        <f>버프정리!$J30</f>
        <v>0.9909</v>
      </c>
      <c r="G59" s="8">
        <f>버프정리!$J30</f>
        <v>0.9909</v>
      </c>
      <c r="H59" s="8">
        <f>버프정리!$J30</f>
        <v>0.9909</v>
      </c>
      <c r="I59" s="8">
        <f>버프정리!$P30</f>
        <v>0.9909</v>
      </c>
      <c r="J59" s="8">
        <f>버프정리!$P30</f>
        <v>0.9909</v>
      </c>
      <c r="K59" s="8">
        <f>버프정리!$P30</f>
        <v>0.9909</v>
      </c>
      <c r="L59" s="8">
        <f>버프정리!$P30</f>
        <v>0.9909</v>
      </c>
      <c r="M59" s="8">
        <f>버프정리!$V30</f>
        <v>0.9909</v>
      </c>
      <c r="N59" s="8">
        <f>버프정리!$AB30</f>
        <v>0.9909</v>
      </c>
      <c r="O59" s="8">
        <f>버프정리!$AB30</f>
        <v>0.9909</v>
      </c>
      <c r="P59" s="8">
        <f>버프정리!$AB30</f>
        <v>0.9909</v>
      </c>
      <c r="Q59" s="8">
        <f>버프정리!$AB30</f>
        <v>0.9909</v>
      </c>
      <c r="R59" s="8">
        <f>버프정리!$AH30</f>
        <v>0.9909</v>
      </c>
      <c r="S59" s="8">
        <f>버프정리!$AH30</f>
        <v>0.9909</v>
      </c>
      <c r="T59" s="8">
        <f>버프정리!$AH30</f>
        <v>0.9909</v>
      </c>
      <c r="U59" s="8">
        <f>버프정리!$AH30</f>
        <v>0.9909</v>
      </c>
    </row>
    <row r="60" spans="1:21" x14ac:dyDescent="0.45">
      <c r="A60" s="267"/>
      <c r="B60" s="17" t="s">
        <v>285</v>
      </c>
      <c r="C60" s="8">
        <f>버프정리!$D31</f>
        <v>0</v>
      </c>
      <c r="D60" s="8">
        <f>버프정리!$J31</f>
        <v>0</v>
      </c>
      <c r="E60" s="8">
        <f>버프정리!$J31</f>
        <v>0</v>
      </c>
      <c r="F60" s="8">
        <f>버프정리!$J31</f>
        <v>0</v>
      </c>
      <c r="G60" s="8">
        <f>버프정리!$J31</f>
        <v>0</v>
      </c>
      <c r="H60" s="8">
        <f>버프정리!$J31</f>
        <v>0</v>
      </c>
      <c r="I60" s="8">
        <f>버프정리!$P31</f>
        <v>0</v>
      </c>
      <c r="J60" s="8">
        <f>버프정리!$P31</f>
        <v>0</v>
      </c>
      <c r="K60" s="8">
        <f>버프정리!$P31</f>
        <v>0</v>
      </c>
      <c r="L60" s="8">
        <f>버프정리!$P31</f>
        <v>0</v>
      </c>
      <c r="M60" s="8">
        <f>버프정리!$V31</f>
        <v>0</v>
      </c>
      <c r="N60" s="8">
        <f>버프정리!$AB31</f>
        <v>0</v>
      </c>
      <c r="O60" s="8">
        <f>버프정리!$AB31</f>
        <v>0</v>
      </c>
      <c r="P60" s="8">
        <f>버프정리!$AB31</f>
        <v>0</v>
      </c>
      <c r="Q60" s="8">
        <f>버프정리!$AB31</f>
        <v>0</v>
      </c>
      <c r="R60" s="8">
        <f>버프정리!$AH31</f>
        <v>0</v>
      </c>
      <c r="S60" s="8">
        <f>버프정리!$AH31</f>
        <v>0</v>
      </c>
      <c r="T60" s="8">
        <f>버프정리!$AH31</f>
        <v>0</v>
      </c>
      <c r="U60" s="8">
        <f>버프정리!$AH31</f>
        <v>0</v>
      </c>
    </row>
    <row r="61" spans="1:21" x14ac:dyDescent="0.45">
      <c r="A61" s="267"/>
      <c r="B61" s="17" t="s">
        <v>286</v>
      </c>
      <c r="C61" s="8">
        <f>버프정리!$D32</f>
        <v>0.192</v>
      </c>
      <c r="D61" s="8">
        <f>버프정리!$J32</f>
        <v>0.192</v>
      </c>
      <c r="E61" s="8">
        <f>버프정리!$J32</f>
        <v>0.192</v>
      </c>
      <c r="F61" s="8">
        <f>버프정리!$J32</f>
        <v>0.192</v>
      </c>
      <c r="G61" s="8">
        <f>버프정리!$J32</f>
        <v>0.192</v>
      </c>
      <c r="H61" s="8">
        <f>버프정리!$J32</f>
        <v>0.192</v>
      </c>
      <c r="I61" s="8">
        <f>버프정리!$P32</f>
        <v>0.192</v>
      </c>
      <c r="J61" s="8">
        <f>버프정리!$P32</f>
        <v>0.192</v>
      </c>
      <c r="K61" s="8">
        <f>버프정리!$P32</f>
        <v>0.192</v>
      </c>
      <c r="L61" s="8">
        <f>버프정리!$P32</f>
        <v>0.192</v>
      </c>
      <c r="M61" s="8">
        <f>버프정리!$V32</f>
        <v>0.192</v>
      </c>
      <c r="N61" s="8">
        <f>버프정리!$AB32</f>
        <v>0.192</v>
      </c>
      <c r="O61" s="8">
        <f>버프정리!$AB32</f>
        <v>0.192</v>
      </c>
      <c r="P61" s="8">
        <f>버프정리!$AB32</f>
        <v>0.192</v>
      </c>
      <c r="Q61" s="8">
        <f>버프정리!$AB32</f>
        <v>0.192</v>
      </c>
      <c r="R61" s="8">
        <f>버프정리!$AH32</f>
        <v>0.192</v>
      </c>
      <c r="S61" s="8">
        <f>버프정리!$AH32</f>
        <v>0.192</v>
      </c>
      <c r="T61" s="8">
        <f>버프정리!$AH32</f>
        <v>0.192</v>
      </c>
      <c r="U61" s="8">
        <f>버프정리!$AH32</f>
        <v>0.192</v>
      </c>
    </row>
    <row r="62" spans="1:21" x14ac:dyDescent="0.45">
      <c r="A62" s="267" t="s">
        <v>287</v>
      </c>
      <c r="B62" s="158" t="s">
        <v>288</v>
      </c>
      <c r="C62" s="8">
        <f>버프정리!$D33</f>
        <v>0.37</v>
      </c>
      <c r="D62" s="8">
        <f>버프정리!$J33</f>
        <v>0.37</v>
      </c>
      <c r="E62" s="8">
        <f>버프정리!$J33</f>
        <v>0.37</v>
      </c>
      <c r="F62" s="8">
        <f>버프정리!$J33</f>
        <v>0.37</v>
      </c>
      <c r="G62" s="8">
        <f>버프정리!$J33</f>
        <v>0.37</v>
      </c>
      <c r="H62" s="8">
        <f>버프정리!$J33</f>
        <v>0.37</v>
      </c>
      <c r="I62" s="8">
        <f>버프정리!$P33</f>
        <v>0.37</v>
      </c>
      <c r="J62" s="8">
        <f>버프정리!$P33</f>
        <v>0.37</v>
      </c>
      <c r="K62" s="8">
        <f>버프정리!$P33</f>
        <v>0.37</v>
      </c>
      <c r="L62" s="8">
        <f>버프정리!$P33</f>
        <v>0.37</v>
      </c>
      <c r="M62" s="8">
        <f>버프정리!$V33</f>
        <v>0.37</v>
      </c>
      <c r="N62" s="8">
        <f>버프정리!$AB33</f>
        <v>0.37</v>
      </c>
      <c r="O62" s="8">
        <f>버프정리!$AB33</f>
        <v>0.37</v>
      </c>
      <c r="P62" s="8">
        <f>버프정리!$AB33</f>
        <v>0.37</v>
      </c>
      <c r="Q62" s="8">
        <f>버프정리!$AB33</f>
        <v>0.37</v>
      </c>
      <c r="R62" s="8">
        <f>버프정리!$AH33</f>
        <v>0.37</v>
      </c>
      <c r="S62" s="8">
        <f>버프정리!$AH33</f>
        <v>0.37</v>
      </c>
      <c r="T62" s="8">
        <f>버프정리!$AH33</f>
        <v>0.37</v>
      </c>
      <c r="U62" s="8">
        <f>버프정리!$AH33</f>
        <v>0.37</v>
      </c>
    </row>
    <row r="63" spans="1:21" x14ac:dyDescent="0.45">
      <c r="A63" s="267"/>
      <c r="B63" s="158" t="s">
        <v>289</v>
      </c>
      <c r="C63" s="8">
        <f>버프정리!$D34</f>
        <v>0</v>
      </c>
      <c r="D63" s="8">
        <f>버프정리!$J34</f>
        <v>0</v>
      </c>
      <c r="E63" s="8">
        <f>버프정리!$J34</f>
        <v>0</v>
      </c>
      <c r="F63" s="8">
        <f>버프정리!$J34</f>
        <v>0</v>
      </c>
      <c r="G63" s="8">
        <f>버프정리!$J34</f>
        <v>0</v>
      </c>
      <c r="H63" s="8">
        <f>버프정리!$J34</f>
        <v>0</v>
      </c>
      <c r="I63" s="8">
        <f>버프정리!$P34</f>
        <v>0</v>
      </c>
      <c r="J63" s="8">
        <f>버프정리!$P34</f>
        <v>0</v>
      </c>
      <c r="K63" s="8">
        <f>버프정리!$P34</f>
        <v>0</v>
      </c>
      <c r="L63" s="8">
        <f>버프정리!$P34</f>
        <v>0</v>
      </c>
      <c r="M63" s="8">
        <f>버프정리!$V34</f>
        <v>0</v>
      </c>
      <c r="N63" s="8">
        <f>버프정리!$AB34</f>
        <v>0</v>
      </c>
      <c r="O63" s="8">
        <f>버프정리!$AB34</f>
        <v>0</v>
      </c>
      <c r="P63" s="8">
        <f>버프정리!$AB34</f>
        <v>0</v>
      </c>
      <c r="Q63" s="8">
        <f>버프정리!$AB34</f>
        <v>0</v>
      </c>
      <c r="R63" s="8">
        <f>버프정리!$AH34</f>
        <v>0</v>
      </c>
      <c r="S63" s="8">
        <f>버프정리!$AH34</f>
        <v>0</v>
      </c>
      <c r="T63" s="8">
        <f>버프정리!$AH34</f>
        <v>0</v>
      </c>
      <c r="U63" s="8">
        <f>버프정리!$AH34</f>
        <v>0</v>
      </c>
    </row>
    <row r="64" spans="1:21" s="161" customFormat="1" x14ac:dyDescent="0.45">
      <c r="A64" s="267"/>
      <c r="B64" s="157" t="s">
        <v>290</v>
      </c>
      <c r="C64" s="123">
        <f>버프정리!$D35</f>
        <v>0</v>
      </c>
      <c r="D64" s="123">
        <f>버프정리!$J35</f>
        <v>0</v>
      </c>
      <c r="E64" s="123">
        <f>버프정리!$J35</f>
        <v>0</v>
      </c>
      <c r="F64" s="123">
        <f>버프정리!$J35</f>
        <v>0</v>
      </c>
      <c r="G64" s="123">
        <f>버프정리!$J35</f>
        <v>0</v>
      </c>
      <c r="H64" s="123">
        <f>버프정리!$J35</f>
        <v>0</v>
      </c>
      <c r="I64" s="123">
        <f>버프정리!$P35</f>
        <v>0</v>
      </c>
      <c r="J64" s="123">
        <f>버프정리!$P35</f>
        <v>0</v>
      </c>
      <c r="K64" s="123">
        <f>버프정리!$P35</f>
        <v>0</v>
      </c>
      <c r="L64" s="123">
        <f>버프정리!$P35</f>
        <v>0</v>
      </c>
      <c r="M64" s="123">
        <f>버프정리!$V35</f>
        <v>0</v>
      </c>
      <c r="N64" s="123">
        <f>버프정리!$AB35</f>
        <v>0</v>
      </c>
      <c r="O64" s="123">
        <f>버프정리!$AB35</f>
        <v>0</v>
      </c>
      <c r="P64" s="123">
        <f>버프정리!$AB35</f>
        <v>0</v>
      </c>
      <c r="Q64" s="123">
        <f>버프정리!$AB35</f>
        <v>0</v>
      </c>
      <c r="R64" s="123">
        <f>버프정리!$AH35</f>
        <v>0</v>
      </c>
      <c r="S64" s="123">
        <f>버프정리!$AH35</f>
        <v>0</v>
      </c>
      <c r="T64" s="123">
        <f>버프정리!$AH35</f>
        <v>0</v>
      </c>
      <c r="U64" s="123">
        <f>버프정리!$AH35</f>
        <v>0</v>
      </c>
    </row>
    <row r="65" spans="1:21" x14ac:dyDescent="0.45">
      <c r="A65" s="267"/>
      <c r="B65" s="158" t="s">
        <v>291</v>
      </c>
      <c r="C65" s="8">
        <f>버프정리!$D36</f>
        <v>1.2</v>
      </c>
      <c r="D65" s="8">
        <f>버프정리!$J36</f>
        <v>1.2</v>
      </c>
      <c r="E65" s="8">
        <f>버프정리!$J36</f>
        <v>1.2</v>
      </c>
      <c r="F65" s="8">
        <f>버프정리!$J36</f>
        <v>1.2</v>
      </c>
      <c r="G65" s="8">
        <f>버프정리!$J36</f>
        <v>1.2</v>
      </c>
      <c r="H65" s="8">
        <f>버프정리!$J36</f>
        <v>1.2</v>
      </c>
      <c r="I65" s="8">
        <f>버프정리!$P36</f>
        <v>1.2</v>
      </c>
      <c r="J65" s="8">
        <f>버프정리!$P36</f>
        <v>1.2</v>
      </c>
      <c r="K65" s="8">
        <f>버프정리!$P36</f>
        <v>1.2</v>
      </c>
      <c r="L65" s="8">
        <f>버프정리!$P36</f>
        <v>1.2</v>
      </c>
      <c r="M65" s="8">
        <f>버프정리!$V36</f>
        <v>1.2</v>
      </c>
      <c r="N65" s="8">
        <f>버프정리!$AB36</f>
        <v>1.2</v>
      </c>
      <c r="O65" s="8">
        <f>버프정리!$AB36</f>
        <v>1.2</v>
      </c>
      <c r="P65" s="8">
        <f>버프정리!$AB36</f>
        <v>1.2</v>
      </c>
      <c r="Q65" s="8">
        <f>버프정리!$AB36</f>
        <v>1.2</v>
      </c>
      <c r="R65" s="8">
        <f>버프정리!$AH36</f>
        <v>1.2</v>
      </c>
      <c r="S65" s="8">
        <f>버프정리!$AH36</f>
        <v>1.2</v>
      </c>
      <c r="T65" s="8">
        <f>버프정리!$AH36</f>
        <v>1.2</v>
      </c>
      <c r="U65" s="8">
        <f>버프정리!$AH36</f>
        <v>1.2</v>
      </c>
    </row>
    <row r="66" spans="1:21" x14ac:dyDescent="0.45">
      <c r="A66" s="267"/>
      <c r="B66" s="158" t="s">
        <v>292</v>
      </c>
      <c r="C66" s="8">
        <f>버프정리!$D37</f>
        <v>1.1484999999999999</v>
      </c>
      <c r="D66" s="8">
        <f>버프정리!$J37</f>
        <v>1.1484999999999999</v>
      </c>
      <c r="E66" s="8">
        <f>버프정리!$J37</f>
        <v>1.1484999999999999</v>
      </c>
      <c r="F66" s="8">
        <f>버프정리!$J37</f>
        <v>1.1484999999999999</v>
      </c>
      <c r="G66" s="8">
        <f>버프정리!$J37</f>
        <v>1.1484999999999999</v>
      </c>
      <c r="H66" s="8">
        <f>버프정리!$J37</f>
        <v>1.1484999999999999</v>
      </c>
      <c r="I66" s="8">
        <f>버프정리!$P37</f>
        <v>1.1484999999999999</v>
      </c>
      <c r="J66" s="8">
        <f>버프정리!$P37</f>
        <v>1.1484999999999999</v>
      </c>
      <c r="K66" s="8">
        <f>버프정리!$P37</f>
        <v>1.1484999999999999</v>
      </c>
      <c r="L66" s="8">
        <f>버프정리!$P37</f>
        <v>1.1484999999999999</v>
      </c>
      <c r="M66" s="8">
        <f>버프정리!$V37</f>
        <v>0.69730000000000003</v>
      </c>
      <c r="N66" s="8">
        <f>버프정리!$AB37</f>
        <v>1.1484999999999999</v>
      </c>
      <c r="O66" s="8">
        <f>버프정리!$AB37</f>
        <v>1.1484999999999999</v>
      </c>
      <c r="P66" s="8">
        <f>버프정리!$AB37</f>
        <v>1.1484999999999999</v>
      </c>
      <c r="Q66" s="8">
        <f>버프정리!$AB37</f>
        <v>1.1484999999999999</v>
      </c>
      <c r="R66" s="8">
        <f>버프정리!$AH37</f>
        <v>1.1484999999999999</v>
      </c>
      <c r="S66" s="8">
        <f>버프정리!$AH37</f>
        <v>1.1484999999999999</v>
      </c>
      <c r="T66" s="8">
        <f>버프정리!$AH37</f>
        <v>1.1484999999999999</v>
      </c>
      <c r="U66" s="8">
        <f>버프정리!$AH37</f>
        <v>1.1484999999999999</v>
      </c>
    </row>
    <row r="67" spans="1:21" x14ac:dyDescent="0.45">
      <c r="A67" s="267"/>
      <c r="B67" s="158" t="s">
        <v>293</v>
      </c>
      <c r="C67" s="8">
        <f>버프정리!$D38</f>
        <v>0</v>
      </c>
      <c r="D67" s="8">
        <f>버프정리!$J38</f>
        <v>0</v>
      </c>
      <c r="E67" s="8">
        <f>버프정리!$J38</f>
        <v>0</v>
      </c>
      <c r="F67" s="8">
        <f>버프정리!$J38</f>
        <v>0</v>
      </c>
      <c r="G67" s="8">
        <f>버프정리!$J38</f>
        <v>0</v>
      </c>
      <c r="H67" s="8">
        <f>버프정리!$J38</f>
        <v>0</v>
      </c>
      <c r="I67" s="8">
        <f>버프정리!$P38</f>
        <v>0</v>
      </c>
      <c r="J67" s="8">
        <f>버프정리!$P38</f>
        <v>0</v>
      </c>
      <c r="K67" s="8">
        <f>버프정리!$P38</f>
        <v>0</v>
      </c>
      <c r="L67" s="8">
        <f>버프정리!$P38</f>
        <v>0</v>
      </c>
      <c r="M67" s="8">
        <f>버프정리!$V38</f>
        <v>0</v>
      </c>
      <c r="N67" s="8">
        <f>버프정리!$AB38</f>
        <v>0</v>
      </c>
      <c r="O67" s="8">
        <f>버프정리!$AB38</f>
        <v>0</v>
      </c>
      <c r="P67" s="8">
        <f>버프정리!$AB38</f>
        <v>0</v>
      </c>
      <c r="Q67" s="8">
        <f>버프정리!$AB38</f>
        <v>0</v>
      </c>
      <c r="R67" s="8">
        <f>버프정리!$AH38</f>
        <v>0</v>
      </c>
      <c r="S67" s="8">
        <f>버프정리!$AH38</f>
        <v>0</v>
      </c>
      <c r="T67" s="8">
        <f>버프정리!$AH38</f>
        <v>0</v>
      </c>
      <c r="U67" s="8">
        <f>버프정리!$AH38</f>
        <v>0</v>
      </c>
    </row>
    <row r="68" spans="1:21" x14ac:dyDescent="0.45">
      <c r="A68" s="267"/>
      <c r="B68" s="158" t="s">
        <v>294</v>
      </c>
      <c r="C68" s="8">
        <f>버프정리!$D39</f>
        <v>0</v>
      </c>
      <c r="D68" s="8">
        <f>버프정리!$J39</f>
        <v>0</v>
      </c>
      <c r="E68" s="8">
        <f>버프정리!$J39</f>
        <v>0</v>
      </c>
      <c r="F68" s="8">
        <f>버프정리!$J39</f>
        <v>0</v>
      </c>
      <c r="G68" s="8">
        <f>버프정리!$J39</f>
        <v>0</v>
      </c>
      <c r="H68" s="8">
        <f>버프정리!$J39</f>
        <v>0</v>
      </c>
      <c r="I68" s="8">
        <f>버프정리!$P39</f>
        <v>0</v>
      </c>
      <c r="J68" s="8">
        <f>버프정리!$P39</f>
        <v>0</v>
      </c>
      <c r="K68" s="8">
        <f>버프정리!$P39</f>
        <v>0</v>
      </c>
      <c r="L68" s="8">
        <f>버프정리!$P39</f>
        <v>0</v>
      </c>
      <c r="M68" s="8">
        <f>버프정리!$V39</f>
        <v>0</v>
      </c>
      <c r="N68" s="8">
        <f>버프정리!$AB39</f>
        <v>0</v>
      </c>
      <c r="O68" s="8">
        <f>버프정리!$AB39</f>
        <v>0</v>
      </c>
      <c r="P68" s="8">
        <f>버프정리!$AB39</f>
        <v>0</v>
      </c>
      <c r="Q68" s="8">
        <f>버프정리!$AB39</f>
        <v>0</v>
      </c>
      <c r="R68" s="8">
        <f>버프정리!$AH39</f>
        <v>0</v>
      </c>
      <c r="S68" s="8">
        <f>버프정리!$AH39</f>
        <v>0</v>
      </c>
      <c r="T68" s="8">
        <f>버프정리!$AH39</f>
        <v>0</v>
      </c>
      <c r="U68" s="8">
        <f>버프정리!$AH39</f>
        <v>0</v>
      </c>
    </row>
    <row r="69" spans="1:21" x14ac:dyDescent="0.45">
      <c r="A69" s="267"/>
      <c r="B69" s="158" t="s">
        <v>295</v>
      </c>
      <c r="C69" s="8">
        <f>버프정리!$D40</f>
        <v>0.1013</v>
      </c>
      <c r="D69" s="8">
        <f>버프정리!$J40</f>
        <v>0.1013</v>
      </c>
      <c r="E69" s="8">
        <f>버프정리!$J40</f>
        <v>0.1013</v>
      </c>
      <c r="F69" s="8">
        <f>버프정리!$J40</f>
        <v>0.1013</v>
      </c>
      <c r="G69" s="8">
        <f>버프정리!$J40</f>
        <v>0.1013</v>
      </c>
      <c r="H69" s="8">
        <f>버프정리!$J40</f>
        <v>0.1013</v>
      </c>
      <c r="I69" s="8">
        <f>버프정리!$P40</f>
        <v>0</v>
      </c>
      <c r="J69" s="8">
        <f>버프정리!$P40</f>
        <v>0</v>
      </c>
      <c r="K69" s="8">
        <f>버프정리!$P40</f>
        <v>0</v>
      </c>
      <c r="L69" s="8">
        <f>버프정리!$P40</f>
        <v>0</v>
      </c>
      <c r="M69" s="8">
        <f>버프정리!$V40</f>
        <v>0.1013</v>
      </c>
      <c r="N69" s="8">
        <f>버프정리!$AB40</f>
        <v>0.1013</v>
      </c>
      <c r="O69" s="8">
        <f>버프정리!$AB40</f>
        <v>0.1013</v>
      </c>
      <c r="P69" s="8">
        <f>버프정리!$AB40</f>
        <v>0.1013</v>
      </c>
      <c r="Q69" s="8">
        <f>버프정리!$AB40</f>
        <v>0.1013</v>
      </c>
      <c r="R69" s="8">
        <f>버프정리!$AH40</f>
        <v>0</v>
      </c>
      <c r="S69" s="8">
        <f>버프정리!$AH40</f>
        <v>0</v>
      </c>
      <c r="T69" s="8">
        <f>버프정리!$AH40</f>
        <v>0</v>
      </c>
      <c r="U69" s="8">
        <f>버프정리!$AH40</f>
        <v>0</v>
      </c>
    </row>
    <row r="70" spans="1:21" x14ac:dyDescent="0.45">
      <c r="A70" s="267"/>
      <c r="B70" s="158" t="s">
        <v>296</v>
      </c>
      <c r="C70" s="8">
        <f>버프정리!$D41</f>
        <v>0.17</v>
      </c>
      <c r="D70" s="8">
        <f>버프정리!$J41</f>
        <v>0.17</v>
      </c>
      <c r="E70" s="8">
        <f>버프정리!$J41</f>
        <v>0.17</v>
      </c>
      <c r="F70" s="8">
        <f>버프정리!$J41</f>
        <v>0.17</v>
      </c>
      <c r="G70" s="8">
        <f>버프정리!$J41</f>
        <v>0.17</v>
      </c>
      <c r="H70" s="8">
        <f>버프정리!$J41</f>
        <v>0.17</v>
      </c>
      <c r="I70" s="8">
        <f>버프정리!$P41</f>
        <v>0.17</v>
      </c>
      <c r="J70" s="8">
        <f>버프정리!$P41</f>
        <v>0.17</v>
      </c>
      <c r="K70" s="8">
        <f>버프정리!$P41</f>
        <v>0.17</v>
      </c>
      <c r="L70" s="8">
        <f>버프정리!$P41</f>
        <v>0.17</v>
      </c>
      <c r="M70" s="8">
        <f>버프정리!$V41</f>
        <v>0.17</v>
      </c>
      <c r="N70" s="8">
        <f>버프정리!$AB41</f>
        <v>0.17</v>
      </c>
      <c r="O70" s="8">
        <f>버프정리!$AB41</f>
        <v>0.17</v>
      </c>
      <c r="P70" s="8">
        <f>버프정리!$AB41</f>
        <v>0.17</v>
      </c>
      <c r="Q70" s="8">
        <f>버프정리!$AB41</f>
        <v>0.17</v>
      </c>
      <c r="R70" s="8">
        <f>버프정리!$AH41</f>
        <v>0.17</v>
      </c>
      <c r="S70" s="8">
        <f>버프정리!$AH41</f>
        <v>0.17</v>
      </c>
      <c r="T70" s="8">
        <f>버프정리!$AH41</f>
        <v>0.17</v>
      </c>
      <c r="U70" s="8">
        <f>버프정리!$AH41</f>
        <v>0.17</v>
      </c>
    </row>
    <row r="71" spans="1:21" x14ac:dyDescent="0.45">
      <c r="B71" s="48" t="s">
        <v>297</v>
      </c>
    </row>
    <row r="72" spans="1:21" x14ac:dyDescent="0.45">
      <c r="B72" s="48" t="s">
        <v>298</v>
      </c>
    </row>
    <row r="73" spans="1:21" x14ac:dyDescent="0.45">
      <c r="B73" s="48" t="s">
        <v>299</v>
      </c>
    </row>
    <row r="74" spans="1:21" x14ac:dyDescent="0.45">
      <c r="B74" s="48" t="s">
        <v>300</v>
      </c>
      <c r="C74" s="2"/>
      <c r="E74" s="2"/>
      <c r="F74" s="1"/>
      <c r="G74" s="1"/>
      <c r="H74" s="2"/>
      <c r="I74" s="2"/>
      <c r="J74" s="2"/>
      <c r="K74" s="2"/>
      <c r="L74" s="2"/>
      <c r="M74" s="2"/>
      <c r="N74" s="2"/>
      <c r="O74" s="1"/>
      <c r="P74" s="1"/>
      <c r="Q74" s="1"/>
      <c r="S74" s="1"/>
      <c r="T74" s="1"/>
    </row>
    <row r="75" spans="1:21" x14ac:dyDescent="0.45">
      <c r="B75" s="17" t="s">
        <v>301</v>
      </c>
      <c r="C75" s="2"/>
      <c r="E75" s="2"/>
      <c r="F75" s="1"/>
      <c r="G75" s="1"/>
      <c r="H75" s="2"/>
      <c r="I75" s="2"/>
      <c r="J75" s="2"/>
      <c r="K75" s="2"/>
      <c r="L75" s="2"/>
      <c r="M75" s="2"/>
      <c r="N75" s="2"/>
      <c r="O75" s="1"/>
      <c r="P75" s="1"/>
      <c r="Q75" s="1"/>
      <c r="S75" s="1"/>
      <c r="T75" s="1"/>
    </row>
    <row r="76" spans="1:21" x14ac:dyDescent="0.45">
      <c r="B76" s="17" t="s">
        <v>302</v>
      </c>
      <c r="C76" s="1"/>
      <c r="E76" s="1"/>
      <c r="F76" s="1"/>
      <c r="G76" s="1"/>
      <c r="H76" s="1"/>
      <c r="I76" s="1"/>
      <c r="J76" s="1"/>
      <c r="K76" s="1"/>
      <c r="L76" s="1"/>
      <c r="M76" s="1"/>
      <c r="N76" s="1"/>
      <c r="O76" s="1"/>
      <c r="P76" s="1"/>
      <c r="Q76" s="1"/>
      <c r="S76" s="1"/>
      <c r="T76" s="1"/>
    </row>
    <row r="77" spans="1:21" x14ac:dyDescent="0.45">
      <c r="B77" s="15" t="s">
        <v>303</v>
      </c>
      <c r="C77" s="2"/>
      <c r="E77" s="2"/>
      <c r="F77" s="1"/>
      <c r="G77" s="1"/>
      <c r="H77" s="2"/>
      <c r="I77" s="2"/>
      <c r="J77" s="2"/>
      <c r="K77" s="2"/>
      <c r="L77" s="2"/>
      <c r="M77" s="2"/>
      <c r="N77" s="2"/>
    </row>
    <row r="78" spans="1:21" x14ac:dyDescent="0.45">
      <c r="B78" s="15" t="s">
        <v>304</v>
      </c>
      <c r="C78" s="1"/>
      <c r="E78" s="1"/>
      <c r="F78" s="1"/>
      <c r="G78" s="1"/>
      <c r="H78" s="1"/>
      <c r="I78" s="1"/>
      <c r="J78" s="1"/>
      <c r="K78" s="1"/>
      <c r="L78" s="1"/>
      <c r="M78" s="1"/>
      <c r="N78" s="1"/>
    </row>
  </sheetData>
  <mergeCells count="20">
    <mergeCell ref="A62:A70"/>
    <mergeCell ref="A33:A35"/>
    <mergeCell ref="A50:A53"/>
    <mergeCell ref="A56:A58"/>
    <mergeCell ref="A54:A55"/>
    <mergeCell ref="B3:B4"/>
    <mergeCell ref="B15:B18"/>
    <mergeCell ref="A38:A48"/>
    <mergeCell ref="A36:A37"/>
    <mergeCell ref="A59:A61"/>
    <mergeCell ref="C2:D2"/>
    <mergeCell ref="E2:H2"/>
    <mergeCell ref="I2:L2"/>
    <mergeCell ref="N2:Q2"/>
    <mergeCell ref="R2:U2"/>
    <mergeCell ref="R1:U1"/>
    <mergeCell ref="N1:Q1"/>
    <mergeCell ref="I1:L1"/>
    <mergeCell ref="C1:D1"/>
    <mergeCell ref="E1:H1"/>
  </mergeCells>
  <phoneticPr fontId="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379F3-3D15-49D0-AC5F-4DCCA5E524C4}">
  <dimension ref="A1:HJ49"/>
  <sheetViews>
    <sheetView zoomScale="70" zoomScaleNormal="70" workbookViewId="0">
      <selection activeCell="E7" sqref="E7"/>
    </sheetView>
  </sheetViews>
  <sheetFormatPr defaultRowHeight="17" x14ac:dyDescent="0.45"/>
  <cols>
    <col min="1" max="1" width="15.75" bestFit="1" customWidth="1"/>
    <col min="2" max="2" width="22.25" bestFit="1" customWidth="1"/>
    <col min="3" max="3" width="9" bestFit="1" customWidth="1"/>
    <col min="4" max="4" width="8.58203125" style="9"/>
    <col min="10" max="10" width="8.58203125" style="9"/>
    <col min="12" max="12" width="9.75" bestFit="1" customWidth="1"/>
    <col min="16" max="16" width="8.58203125" style="9"/>
    <col min="18" max="18" width="9.75" bestFit="1" customWidth="1"/>
    <col min="22" max="22" width="8.58203125" style="9"/>
    <col min="28" max="28" width="8.58203125" style="9"/>
    <col min="34" max="34" width="8.58203125" style="9"/>
  </cols>
  <sheetData>
    <row r="1" spans="1:39" x14ac:dyDescent="0.45">
      <c r="E1">
        <v>0</v>
      </c>
      <c r="F1">
        <v>0</v>
      </c>
      <c r="G1">
        <v>0</v>
      </c>
      <c r="H1">
        <v>0</v>
      </c>
      <c r="I1">
        <v>0</v>
      </c>
      <c r="K1">
        <v>1</v>
      </c>
      <c r="L1">
        <v>1</v>
      </c>
      <c r="M1">
        <v>1</v>
      </c>
      <c r="N1">
        <v>1</v>
      </c>
      <c r="O1">
        <v>1</v>
      </c>
      <c r="Q1">
        <v>2</v>
      </c>
      <c r="R1">
        <v>2</v>
      </c>
      <c r="S1">
        <v>2</v>
      </c>
      <c r="T1">
        <v>2</v>
      </c>
      <c r="U1">
        <v>2</v>
      </c>
      <c r="W1">
        <v>3</v>
      </c>
      <c r="X1">
        <v>3</v>
      </c>
      <c r="Y1">
        <v>3</v>
      </c>
      <c r="Z1">
        <v>3</v>
      </c>
      <c r="AA1">
        <v>3</v>
      </c>
      <c r="AC1">
        <v>4</v>
      </c>
      <c r="AD1">
        <v>4</v>
      </c>
      <c r="AE1">
        <v>4</v>
      </c>
      <c r="AF1">
        <v>4</v>
      </c>
      <c r="AG1">
        <v>4</v>
      </c>
      <c r="AI1">
        <v>5</v>
      </c>
      <c r="AJ1">
        <v>5</v>
      </c>
      <c r="AK1">
        <v>5</v>
      </c>
      <c r="AL1">
        <v>5</v>
      </c>
      <c r="AM1">
        <v>5</v>
      </c>
    </row>
    <row r="2" spans="1:39" x14ac:dyDescent="0.45">
      <c r="A2" s="219"/>
      <c r="B2" s="219"/>
      <c r="C2" t="s">
        <v>307</v>
      </c>
      <c r="D2" s="43" t="s">
        <v>308</v>
      </c>
      <c r="E2" s="44" t="s">
        <v>309</v>
      </c>
      <c r="F2" s="44" t="s">
        <v>310</v>
      </c>
      <c r="G2" s="44" t="s">
        <v>311</v>
      </c>
      <c r="H2" s="44" t="s">
        <v>312</v>
      </c>
      <c r="I2" s="45" t="s">
        <v>313</v>
      </c>
      <c r="J2" s="43" t="s">
        <v>314</v>
      </c>
      <c r="K2" s="44" t="s">
        <v>309</v>
      </c>
      <c r="L2" s="44" t="s">
        <v>310</v>
      </c>
      <c r="M2" s="44" t="s">
        <v>311</v>
      </c>
      <c r="N2" s="44" t="s">
        <v>312</v>
      </c>
      <c r="O2" s="45" t="s">
        <v>313</v>
      </c>
      <c r="P2" s="43" t="s">
        <v>205</v>
      </c>
      <c r="Q2" s="44" t="s">
        <v>309</v>
      </c>
      <c r="R2" s="44" t="s">
        <v>310</v>
      </c>
      <c r="S2" s="44" t="s">
        <v>311</v>
      </c>
      <c r="T2" s="44" t="s">
        <v>312</v>
      </c>
      <c r="U2" s="45" t="s">
        <v>313</v>
      </c>
      <c r="V2" s="46" t="s">
        <v>206</v>
      </c>
      <c r="W2" s="44" t="s">
        <v>309</v>
      </c>
      <c r="X2" s="44" t="s">
        <v>310</v>
      </c>
      <c r="Y2" s="44" t="s">
        <v>311</v>
      </c>
      <c r="Z2" s="44" t="s">
        <v>312</v>
      </c>
      <c r="AA2" s="45" t="s">
        <v>313</v>
      </c>
      <c r="AB2" s="47" t="s">
        <v>315</v>
      </c>
      <c r="AC2" s="44" t="s">
        <v>309</v>
      </c>
      <c r="AD2" s="44" t="s">
        <v>310</v>
      </c>
      <c r="AE2" s="44" t="s">
        <v>311</v>
      </c>
      <c r="AF2" s="44" t="s">
        <v>312</v>
      </c>
      <c r="AG2" s="45" t="s">
        <v>313</v>
      </c>
      <c r="AH2" s="47" t="s">
        <v>208</v>
      </c>
      <c r="AI2" s="44" t="s">
        <v>309</v>
      </c>
      <c r="AJ2" s="44" t="s">
        <v>310</v>
      </c>
      <c r="AK2" s="44" t="s">
        <v>311</v>
      </c>
      <c r="AL2" s="44" t="s">
        <v>312</v>
      </c>
      <c r="AM2" s="45" t="s">
        <v>313</v>
      </c>
    </row>
    <row r="3" spans="1:39" x14ac:dyDescent="0.45">
      <c r="D3" s="42" t="s">
        <v>316</v>
      </c>
      <c r="E3" t="str">
        <f>메인!$F$4</f>
        <v>신데렐라</v>
      </c>
      <c r="F3" t="str">
        <f>메인!$G$4</f>
        <v>아니스</v>
      </c>
      <c r="G3" t="str">
        <f>메인!$H$4</f>
        <v>마스트</v>
      </c>
      <c r="H3" t="str">
        <f>메인!$I$4</f>
        <v>앵커</v>
      </c>
      <c r="I3" s="48">
        <f>메인!$J$4</f>
        <v>0</v>
      </c>
      <c r="J3" s="42" t="s">
        <v>316</v>
      </c>
      <c r="K3" t="str">
        <f>메인!$F$4</f>
        <v>신데렐라</v>
      </c>
      <c r="L3" t="str">
        <f>메인!$G$4</f>
        <v>아니스</v>
      </c>
      <c r="M3" t="str">
        <f>메인!$H$4</f>
        <v>마스트</v>
      </c>
      <c r="N3" t="str">
        <f>메인!$I$4</f>
        <v>앵커</v>
      </c>
      <c r="O3" s="48">
        <f>메인!$J$4</f>
        <v>0</v>
      </c>
      <c r="P3" s="42" t="s">
        <v>316</v>
      </c>
      <c r="Q3" t="str">
        <f>메인!$F$4</f>
        <v>신데렐라</v>
      </c>
      <c r="R3" t="str">
        <f>메인!$G$4</f>
        <v>아니스</v>
      </c>
      <c r="S3" t="str">
        <f>메인!$H$4</f>
        <v>마스트</v>
      </c>
      <c r="T3" t="str">
        <f>메인!$I$4</f>
        <v>앵커</v>
      </c>
      <c r="U3" s="48">
        <f>메인!$J$4</f>
        <v>0</v>
      </c>
      <c r="V3" s="42" t="s">
        <v>316</v>
      </c>
      <c r="W3" t="str">
        <f>메인!$F$4</f>
        <v>신데렐라</v>
      </c>
      <c r="X3" t="str">
        <f>메인!$G$4</f>
        <v>아니스</v>
      </c>
      <c r="Y3" t="str">
        <f>메인!$H$4</f>
        <v>마스트</v>
      </c>
      <c r="Z3" t="str">
        <f>메인!$I$4</f>
        <v>앵커</v>
      </c>
      <c r="AA3" s="48">
        <f>메인!$J$4</f>
        <v>0</v>
      </c>
      <c r="AB3" s="42" t="s">
        <v>316</v>
      </c>
      <c r="AC3" t="str">
        <f>메인!$F$4</f>
        <v>신데렐라</v>
      </c>
      <c r="AD3" t="str">
        <f>메인!$G$4</f>
        <v>아니스</v>
      </c>
      <c r="AE3" t="str">
        <f>메인!$H$4</f>
        <v>마스트</v>
      </c>
      <c r="AF3" t="str">
        <f>메인!$I$4</f>
        <v>앵커</v>
      </c>
      <c r="AG3" s="48">
        <f>메인!$J$4</f>
        <v>0</v>
      </c>
      <c r="AH3" s="42" t="s">
        <v>316</v>
      </c>
      <c r="AI3" t="str">
        <f>메인!$F$4</f>
        <v>신데렐라</v>
      </c>
      <c r="AJ3" t="str">
        <f>메인!$G$4</f>
        <v>아니스</v>
      </c>
      <c r="AK3" t="str">
        <f>메인!$H$4</f>
        <v>마스트</v>
      </c>
      <c r="AL3" t="str">
        <f>메인!$I$4</f>
        <v>앵커</v>
      </c>
      <c r="AM3" s="48">
        <f>메인!$J$4</f>
        <v>0</v>
      </c>
    </row>
    <row r="4" spans="1:39" s="12" customFormat="1" x14ac:dyDescent="0.45">
      <c r="A4" s="271" t="s">
        <v>251</v>
      </c>
      <c r="B4" s="157" t="s">
        <v>252</v>
      </c>
      <c r="D4" s="23">
        <f>$C4+SUM(E4:I4)</f>
        <v>143038.72657999999</v>
      </c>
      <c r="E4" s="58" cm="1">
        <f t="array" ref="E4">IFERROR(INDEX(딜러데이터!$C$3:$BBD$52, ROW()-ROW($B$4)+1, MATCH(E$3, 딜러데이터!$C$1:$AAM$1, 0)+E$1), 0)*메인!$F7</f>
        <v>0</v>
      </c>
      <c r="F4" s="58" cm="1">
        <f t="array" ref="F4">IFERROR(INDEX(서포터데이터!$C$3:$AAW$53, ROW()-ROW($B$4)+1, MATCH(F$3, 서포터데이터!$C$1:$AAW$1, 0)+F$1), 0)*메인!$G7</f>
        <v>0</v>
      </c>
      <c r="G4" s="58" cm="1">
        <f t="array" ref="G4">IFERROR(INDEX(서포터데이터!$C$3:$AAW$53, ROW()-ROW($B$4)+1, MATCH(G$3, 서포터데이터!$C$1:$AAW$1, 0)+G$1), 0)*메인!$H7</f>
        <v>104571.39279999999</v>
      </c>
      <c r="H4" s="58" cm="1">
        <f t="array" ref="H4">IFERROR(INDEX(서포터데이터!$C$3:$AAW$53, ROW()-ROW($B$4)+1, MATCH(H$3, 서포터데이터!$C$1:$AAW$1, 0)+H$1), 0)*메인!$I7</f>
        <v>38467.333780000001</v>
      </c>
      <c r="I4" s="58" cm="1">
        <f t="array" ref="I4">IFERROR(INDEX(서포터데이터!$C$3:$AAW$53, ROW()-ROW($B$4)+1, MATCH(I$3, 서포터데이터!$C$1:$AAW$1, 0)+I$1), 0)*메인!$J7</f>
        <v>0</v>
      </c>
      <c r="J4" s="23">
        <f>$C4+SUM(K4:O4)</f>
        <v>174856.41675199999</v>
      </c>
      <c r="K4" s="58" cm="1">
        <f t="array" ref="K4">IFERROR(INDEX(딜러데이터!$C$3:$BBD$52, ROW()-ROW($B$4)+1, MATCH(K$3, 딜러데이터!$C$1:$AAM$1, 0)+K$1), 0)*메인!$F7</f>
        <v>0</v>
      </c>
      <c r="L4" s="58" cm="1">
        <f t="array" ref="L4">IFERROR(INDEX(서포터데이터!$C$3:$AAW$53, ROW()-ROW($B$4)+1, MATCH(L$3, 서포터데이터!$C$1:$AAW$1, 0)+L$1), 0)*메인!$G7</f>
        <v>31817.690172000002</v>
      </c>
      <c r="M4" s="58" cm="1">
        <f t="array" ref="M4">IFERROR(INDEX(서포터데이터!$C$3:$AAW$53, ROW()-ROW($B$4)+1, MATCH(M$3, 서포터데이터!$C$1:$AAW$1, 0)+M$1), 0)*메인!$H7</f>
        <v>104571.39279999999</v>
      </c>
      <c r="N4" s="58" cm="1">
        <f t="array" ref="N4">IFERROR(INDEX(서포터데이터!$C$3:$AAW$53, ROW()-ROW($B$4)+1, MATCH(N$3, 서포터데이터!$C$1:$AAW$1, 0)+N$1), 0)*메인!$I7</f>
        <v>38467.333780000001</v>
      </c>
      <c r="O4" s="58" cm="1">
        <f t="array" ref="O4">IFERROR(INDEX(서포터데이터!$C$3:$AAW$53, ROW()-ROW($B$4)+1, MATCH(O$3, 서포터데이터!$C$1:$AAW$1, 0)+O$1), 0)*메인!$J7</f>
        <v>0</v>
      </c>
      <c r="P4" s="23">
        <f>$C4+SUM(Q4:U4)</f>
        <v>136389.082972</v>
      </c>
      <c r="Q4" s="58" cm="1">
        <f t="array" ref="Q4">IFERROR(INDEX(딜러데이터!$C$3:$BBD$52, ROW()-ROW($B$4)+1, MATCH(Q$3, 딜러데이터!$C$1:$AAM$1, 0)+Q$1), 0)*메인!$F7</f>
        <v>0</v>
      </c>
      <c r="R4" s="58" cm="1">
        <f t="array" ref="R4">IFERROR(INDEX(서포터데이터!$C$3:$AAW$53, ROW()-ROW($B$4)+1, MATCH(R$3, 서포터데이터!$C$1:$AAW$1, 0)+R$1), 0)*메인!$G7</f>
        <v>31817.690172000002</v>
      </c>
      <c r="S4" s="58" cm="1">
        <f t="array" ref="S4">IFERROR(INDEX(서포터데이터!$C$3:$AAW$53, ROW()-ROW($B$4)+1, MATCH(S$3, 서포터데이터!$C$1:$AAW$1, 0)+S$1), 0)*메인!$H7</f>
        <v>104571.39279999999</v>
      </c>
      <c r="T4" s="58" cm="1">
        <f t="array" ref="T4">IFERROR(INDEX(서포터데이터!$C$3:$AAW$53, ROW()-ROW($B$4)+1, MATCH(T$3, 서포터데이터!$C$1:$AAW$1, 0)+T$1), 0)*메인!$I7</f>
        <v>0</v>
      </c>
      <c r="U4" s="58" cm="1">
        <f t="array" ref="U4">IFERROR(INDEX(서포터데이터!$C$3:$AAW$53, ROW()-ROW($B$4)+1, MATCH(U$3, 서포터데이터!$C$1:$AAW$1, 0)+U$1), 0)*메인!$J7</f>
        <v>0</v>
      </c>
      <c r="V4" s="23">
        <f>$C4+SUM(W4:AA4)</f>
        <v>76934.667560000002</v>
      </c>
      <c r="W4" s="58" cm="1">
        <f t="array" ref="W4">IFERROR(INDEX(딜러데이터!$C$3:$BBD$52, ROW()-ROW($B$4)+1, MATCH(W$3, 딜러데이터!$C$1:$AAM$1, 0)+W$1), 0)*메인!$F7</f>
        <v>0</v>
      </c>
      <c r="X4" s="58" cm="1">
        <f t="array" ref="X4">IFERROR(INDEX(서포터데이터!$C$3:$AAW$53, ROW()-ROW($B$4)+1, MATCH(X$3, 서포터데이터!$C$1:$AAW$1, 0)+X$1), 0)*메인!$G7</f>
        <v>0</v>
      </c>
      <c r="Y4" s="58" cm="1">
        <f t="array" ref="Y4">IFERROR(INDEX(서포터데이터!$C$3:$AAW$53, ROW()-ROW($B$4)+1, MATCH(Y$3, 서포터데이터!$C$1:$AAW$1, 0)+Y$1), 0)*메인!$H7</f>
        <v>38467.333780000001</v>
      </c>
      <c r="Z4" s="58" cm="1">
        <f t="array" ref="Z4">IFERROR(INDEX(서포터데이터!$C$3:$AAW$53, ROW()-ROW($B$4)+1, MATCH(Z$3, 서포터데이터!$C$1:$AAW$1, 0)+Z$1), 0)*메인!$I7</f>
        <v>38467.333780000001</v>
      </c>
      <c r="AA4" s="58" cm="1">
        <f t="array" ref="AA4">IFERROR(INDEX(서포터데이터!$C$3:$AAW$53, ROW()-ROW($B$4)+1, MATCH(AA$3, 서포터데이터!$C$1:$AAW$1, 0)+AA$1), 0)*메인!$J7</f>
        <v>0</v>
      </c>
      <c r="AB4" s="23">
        <f>$C4+SUM(AC4:AG4)</f>
        <v>141804.387242</v>
      </c>
      <c r="AC4" s="58" cm="1">
        <f t="array" ref="AC4">IFERROR(INDEX(딜러데이터!$C$3:$BBD$52, ROW()-ROW($B$4)+1, MATCH(AC$3, 딜러데이터!$C$1:$AAM$1, 0)+AC$1), 0)*메인!$F7</f>
        <v>0</v>
      </c>
      <c r="AD4" s="58" cm="1">
        <f t="array" ref="AD4">IFERROR(INDEX(서포터데이터!$C$3:$AAW$53, ROW()-ROW($B$4)+1, MATCH(AD$3, 서포터데이터!$C$1:$AAW$1, 0)+AD$1), 0)*메인!$G7</f>
        <v>31817.690172000002</v>
      </c>
      <c r="AE4" s="58" cm="1">
        <f t="array" ref="AE4">IFERROR(INDEX(서포터데이터!$C$3:$AAW$53, ROW()-ROW($B$4)+1, MATCH(AE$3, 서포터데이터!$C$1:$AAW$1, 0)+AE$1), 0)*메인!$H7</f>
        <v>38467.333780000001</v>
      </c>
      <c r="AF4" s="58" cm="1">
        <f t="array" ref="AF4">IFERROR(INDEX(서포터데이터!$C$3:$AAW$53, ROW()-ROW($B$4)+1, MATCH(AF$3, 서포터데이터!$C$1:$AAW$1, 0)+AF$1), 0)*메인!$I7</f>
        <v>71519.363289999994</v>
      </c>
      <c r="AG4" s="58" cm="1">
        <f t="array" ref="AG4">IFERROR(INDEX(서포터데이터!$C$3:$AAW$53, ROW()-ROW($B$4)+1, MATCH(AG$3, 서포터데이터!$C$1:$AAW$1, 0)+AG$1), 0)*메인!$J7</f>
        <v>0</v>
      </c>
      <c r="AH4" s="23">
        <f>$C4+SUM(AI4:AM4)</f>
        <v>103337.05346200001</v>
      </c>
      <c r="AI4" s="58" cm="1">
        <f t="array" ref="AI4">IFERROR(INDEX(딜러데이터!$C$3:$BBD$52, ROW()-ROW($B$4)+1, MATCH(AI$3, 딜러데이터!$C$1:$AAM$1, 0)+AI$1), 0)*메인!$F7</f>
        <v>0</v>
      </c>
      <c r="AJ4" s="58" cm="1">
        <f t="array" ref="AJ4">IFERROR(INDEX(서포터데이터!$C$3:$AAW$53, ROW()-ROW($B$4)+1, MATCH(AJ$3, 서포터데이터!$C$1:$AAW$1, 0)+AJ$1), 0)*메인!$G7</f>
        <v>31817.690172000002</v>
      </c>
      <c r="AK4" s="58" cm="1">
        <f t="array" ref="AK4">IFERROR(INDEX(서포터데이터!$C$3:$AAW$53, ROW()-ROW($B$4)+1, MATCH(AK$3, 서포터데이터!$C$1:$AAW$1, 0)+AK$1), 0)*메인!$H7</f>
        <v>38467.333780000001</v>
      </c>
      <c r="AL4" s="58" cm="1">
        <f t="array" ref="AL4">IFERROR(INDEX(서포터데이터!$C$3:$AAW$53, ROW()-ROW($B$4)+1, MATCH(AL$3, 서포터데이터!$C$1:$AAW$1, 0)+AL$1), 0)*메인!$I7</f>
        <v>33052.02951</v>
      </c>
      <c r="AM4" s="59" cm="1">
        <f t="array" ref="AM4">IFERROR(INDEX(서포터데이터!$C$3:$AAW$53, ROW()-ROW($B$4)+1, MATCH(AM$3, 서포터데이터!$C$1:$AAW$1, 0)+AM$1), 0)*메인!$J7</f>
        <v>0</v>
      </c>
    </row>
    <row r="5" spans="1:39" s="12" customFormat="1" x14ac:dyDescent="0.45">
      <c r="A5" s="271"/>
      <c r="B5" s="157" t="s">
        <v>253</v>
      </c>
      <c r="D5" s="23">
        <f t="shared" ref="D5:D6" si="0">$C5+SUM(E5:I5)</f>
        <v>0</v>
      </c>
      <c r="E5" s="58" cm="1">
        <f t="array" ref="E5">IFERROR(INDEX(딜러데이터!$C$3:$BBD$52, ROW()-ROW($B$4)+1, MATCH(E$3, 딜러데이터!$C$1:$AAM$1, 0)+E$1), 0)*메인!$F8</f>
        <v>0</v>
      </c>
      <c r="F5" s="58" cm="1">
        <f t="array" ref="F5">IFERROR(INDEX(서포터데이터!$C$3:$AAW$53, ROW()-ROW($B$4)+1, MATCH(F$3, 서포터데이터!$C$1:$AAW$1, 0)+F$1), 0)*메인!$G8</f>
        <v>0</v>
      </c>
      <c r="G5" s="58" cm="1">
        <f t="array" ref="G5">IFERROR(INDEX(서포터데이터!$C$3:$AAW$53, ROW()-ROW($B$4)+1, MATCH(G$3, 서포터데이터!$C$1:$AAW$1, 0)+G$1), 0)*메인!$H8</f>
        <v>0</v>
      </c>
      <c r="H5" s="58" cm="1">
        <f t="array" ref="H5">IFERROR(INDEX(서포터데이터!$C$3:$AAW$53, ROW()-ROW($B$4)+1, MATCH(H$3, 서포터데이터!$C$1:$AAW$1, 0)+H$1), 0)*메인!$I8</f>
        <v>0</v>
      </c>
      <c r="I5" s="58" cm="1">
        <f t="array" ref="I5">IFERROR(INDEX(서포터데이터!$C$3:$AAW$53, ROW()-ROW($B$4)+1, MATCH(I$3, 서포터데이터!$C$1:$AAW$1, 0)+I$1), 0)*메인!$J8</f>
        <v>0</v>
      </c>
      <c r="J5" s="23">
        <f t="shared" ref="J5:J6" si="1">$C5+SUM(K5:O5)</f>
        <v>0</v>
      </c>
      <c r="K5" s="58" cm="1">
        <f t="array" ref="K5">IFERROR(INDEX(딜러데이터!$C$3:$BBD$52, ROW()-ROW($B$4)+1, MATCH(K$3, 딜러데이터!$C$1:$AAM$1, 0)+K$1), 0)*메인!$F8</f>
        <v>0</v>
      </c>
      <c r="L5" s="58" cm="1">
        <f t="array" ref="L5">IFERROR(INDEX(서포터데이터!$C$3:$AAW$53, ROW()-ROW($B$4)+1, MATCH(L$3, 서포터데이터!$C$1:$AAW$1, 0)+L$1), 0)*메인!$G8</f>
        <v>0</v>
      </c>
      <c r="M5" s="58" cm="1">
        <f t="array" ref="M5">IFERROR(INDEX(서포터데이터!$C$3:$AAW$53, ROW()-ROW($B$4)+1, MATCH(M$3, 서포터데이터!$C$1:$AAW$1, 0)+M$1), 0)*메인!$H8</f>
        <v>0</v>
      </c>
      <c r="N5" s="58" cm="1">
        <f t="array" ref="N5">IFERROR(INDEX(서포터데이터!$C$3:$AAW$53, ROW()-ROW($B$4)+1, MATCH(N$3, 서포터데이터!$C$1:$AAW$1, 0)+N$1), 0)*메인!$I8</f>
        <v>0</v>
      </c>
      <c r="O5" s="58" cm="1">
        <f t="array" ref="O5">IFERROR(INDEX(서포터데이터!$C$3:$AAW$53, ROW()-ROW($B$4)+1, MATCH(O$3, 서포터데이터!$C$1:$AAW$1, 0)+O$1), 0)*메인!$J8</f>
        <v>0</v>
      </c>
      <c r="P5" s="23">
        <f t="shared" ref="P5:P6" si="2">$C5+SUM(Q5:U5)</f>
        <v>0</v>
      </c>
      <c r="Q5" s="58" cm="1">
        <f t="array" ref="Q5">IFERROR(INDEX(딜러데이터!$C$3:$BBD$52, ROW()-ROW($B$4)+1, MATCH(Q$3, 딜러데이터!$C$1:$AAM$1, 0)+Q$1), 0)*메인!$F8</f>
        <v>0</v>
      </c>
      <c r="R5" s="58" cm="1">
        <f t="array" ref="R5">IFERROR(INDEX(서포터데이터!$C$3:$AAW$53, ROW()-ROW($B$4)+1, MATCH(R$3, 서포터데이터!$C$1:$AAW$1, 0)+R$1), 0)*메인!$G8</f>
        <v>0</v>
      </c>
      <c r="S5" s="58" cm="1">
        <f t="array" ref="S5">IFERROR(INDEX(서포터데이터!$C$3:$AAW$53, ROW()-ROW($B$4)+1, MATCH(S$3, 서포터데이터!$C$1:$AAW$1, 0)+S$1), 0)*메인!$H8</f>
        <v>0</v>
      </c>
      <c r="T5" s="58" cm="1">
        <f t="array" ref="T5">IFERROR(INDEX(서포터데이터!$C$3:$AAW$53, ROW()-ROW($B$4)+1, MATCH(T$3, 서포터데이터!$C$1:$AAW$1, 0)+T$1), 0)*메인!$I8</f>
        <v>0</v>
      </c>
      <c r="U5" s="58" cm="1">
        <f t="array" ref="U5">IFERROR(INDEX(서포터데이터!$C$3:$AAW$53, ROW()-ROW($B$4)+1, MATCH(U$3, 서포터데이터!$C$1:$AAW$1, 0)+U$1), 0)*메인!$J8</f>
        <v>0</v>
      </c>
      <c r="V5" s="23">
        <f t="shared" ref="V5:V6" si="3">$C5+SUM(W5:AA5)</f>
        <v>0</v>
      </c>
      <c r="W5" s="58" cm="1">
        <f t="array" ref="W5">IFERROR(INDEX(딜러데이터!$C$3:$BBD$52, ROW()-ROW($B$4)+1, MATCH(W$3, 딜러데이터!$C$1:$AAM$1, 0)+W$1), 0)*메인!$F8</f>
        <v>0</v>
      </c>
      <c r="X5" s="58" cm="1">
        <f t="array" ref="X5">IFERROR(INDEX(서포터데이터!$C$3:$AAW$53, ROW()-ROW($B$4)+1, MATCH(X$3, 서포터데이터!$C$1:$AAW$1, 0)+X$1), 0)*메인!$G8</f>
        <v>0</v>
      </c>
      <c r="Y5" s="58" cm="1">
        <f t="array" ref="Y5">IFERROR(INDEX(서포터데이터!$C$3:$AAW$53, ROW()-ROW($B$4)+1, MATCH(Y$3, 서포터데이터!$C$1:$AAW$1, 0)+Y$1), 0)*메인!$H8</f>
        <v>0</v>
      </c>
      <c r="Z5" s="58" cm="1">
        <f t="array" ref="Z5">IFERROR(INDEX(서포터데이터!$C$3:$AAW$53, ROW()-ROW($B$4)+1, MATCH(Z$3, 서포터데이터!$C$1:$AAW$1, 0)+Z$1), 0)*메인!$I8</f>
        <v>0</v>
      </c>
      <c r="AA5" s="58" cm="1">
        <f t="array" ref="AA5">IFERROR(INDEX(서포터데이터!$C$3:$AAW$53, ROW()-ROW($B$4)+1, MATCH(AA$3, 서포터데이터!$C$1:$AAW$1, 0)+AA$1), 0)*메인!$J8</f>
        <v>0</v>
      </c>
      <c r="AB5" s="23">
        <f t="shared" ref="AB5:AB6" si="4">$C5+SUM(AC5:AG5)</f>
        <v>0</v>
      </c>
      <c r="AC5" s="58" cm="1">
        <f t="array" ref="AC5">IFERROR(INDEX(딜러데이터!$C$3:$BBD$52, ROW()-ROW($B$4)+1, MATCH(AC$3, 딜러데이터!$C$1:$AAM$1, 0)+AC$1), 0)*메인!$F8</f>
        <v>0</v>
      </c>
      <c r="AD5" s="58" cm="1">
        <f t="array" ref="AD5">IFERROR(INDEX(서포터데이터!$C$3:$AAW$53, ROW()-ROW($B$4)+1, MATCH(AD$3, 서포터데이터!$C$1:$AAW$1, 0)+AD$1), 0)*메인!$G8</f>
        <v>0</v>
      </c>
      <c r="AE5" s="58" cm="1">
        <f t="array" ref="AE5">IFERROR(INDEX(서포터데이터!$C$3:$AAW$53, ROW()-ROW($B$4)+1, MATCH(AE$3, 서포터데이터!$C$1:$AAW$1, 0)+AE$1), 0)*메인!$H8</f>
        <v>0</v>
      </c>
      <c r="AF5" s="58" cm="1">
        <f t="array" ref="AF5">IFERROR(INDEX(서포터데이터!$C$3:$AAW$53, ROW()-ROW($B$4)+1, MATCH(AF$3, 서포터데이터!$C$1:$AAW$1, 0)+AF$1), 0)*메인!$I8</f>
        <v>0</v>
      </c>
      <c r="AG5" s="58" cm="1">
        <f t="array" ref="AG5">IFERROR(INDEX(서포터데이터!$C$3:$AAW$53, ROW()-ROW($B$4)+1, MATCH(AG$3, 서포터데이터!$C$1:$AAW$1, 0)+AG$1), 0)*메인!$J8</f>
        <v>0</v>
      </c>
      <c r="AH5" s="23">
        <f t="shared" ref="AH5:AH6" si="5">$C5+SUM(AI5:AM5)</f>
        <v>0</v>
      </c>
      <c r="AI5" s="58" cm="1">
        <f t="array" ref="AI5">IFERROR(INDEX(딜러데이터!$C$3:$BBD$52, ROW()-ROW($B$4)+1, MATCH(AI$3, 딜러데이터!$C$1:$AAM$1, 0)+AI$1), 0)*메인!$F8</f>
        <v>0</v>
      </c>
      <c r="AJ5" s="58" cm="1">
        <f t="array" ref="AJ5">IFERROR(INDEX(서포터데이터!$C$3:$AAW$53, ROW()-ROW($B$4)+1, MATCH(AJ$3, 서포터데이터!$C$1:$AAW$1, 0)+AJ$1), 0)*메인!$G8</f>
        <v>0</v>
      </c>
      <c r="AK5" s="58" cm="1">
        <f t="array" ref="AK5">IFERROR(INDEX(서포터데이터!$C$3:$AAW$53, ROW()-ROW($B$4)+1, MATCH(AK$3, 서포터데이터!$C$1:$AAW$1, 0)+AK$1), 0)*메인!$H8</f>
        <v>0</v>
      </c>
      <c r="AL5" s="58" cm="1">
        <f t="array" ref="AL5">IFERROR(INDEX(서포터데이터!$C$3:$AAW$53, ROW()-ROW($B$4)+1, MATCH(AL$3, 서포터데이터!$C$1:$AAW$1, 0)+AL$1), 0)*메인!$I8</f>
        <v>0</v>
      </c>
      <c r="AM5" s="59" cm="1">
        <f t="array" ref="AM5">IFERROR(INDEX(서포터데이터!$C$3:$AAW$53, ROW()-ROW($B$4)+1, MATCH(AM$3, 서포터데이터!$C$1:$AAW$1, 0)+AM$1), 0)*메인!$J8</f>
        <v>0</v>
      </c>
    </row>
    <row r="6" spans="1:39" s="12" customFormat="1" x14ac:dyDescent="0.45">
      <c r="A6" s="271"/>
      <c r="B6" s="157" t="s">
        <v>254</v>
      </c>
      <c r="C6" s="60"/>
      <c r="D6" s="23">
        <f t="shared" si="0"/>
        <v>0</v>
      </c>
      <c r="E6" s="58" cm="1">
        <f t="array" ref="E6">IFERROR(INDEX(딜러데이터!$C$3:$BBD$52, ROW()-ROW($B$4)+1, MATCH(E$3, 딜러데이터!$C$1:$AAM$1, 0)+E$1), 0)*메인!$F9</f>
        <v>0</v>
      </c>
      <c r="F6" s="58" cm="1">
        <f t="array" ref="F6">IFERROR(INDEX(서포터데이터!$C$3:$AAW$53, ROW()-ROW($B$4)+1, MATCH(F$3, 서포터데이터!$C$1:$AAW$1, 0)+F$1), 0)*메인!$G9</f>
        <v>0</v>
      </c>
      <c r="G6" s="58" cm="1">
        <f t="array" ref="G6">IFERROR(INDEX(서포터데이터!$C$3:$AAW$53, ROW()-ROW($B$4)+1, MATCH(G$3, 서포터데이터!$C$1:$AAW$1, 0)+G$1), 0)*메인!$H9</f>
        <v>0</v>
      </c>
      <c r="H6" s="58" cm="1">
        <f t="array" ref="H6">IFERROR(INDEX(서포터데이터!$C$3:$AAW$53, ROW()-ROW($B$4)+1, MATCH(H$3, 서포터데이터!$C$1:$AAW$1, 0)+H$1), 0)*메인!$I9</f>
        <v>0</v>
      </c>
      <c r="I6" s="58" cm="1">
        <f t="array" ref="I6">IFERROR(INDEX(서포터데이터!$C$3:$AAW$53, ROW()-ROW($B$4)+1, MATCH(I$3, 서포터데이터!$C$1:$AAW$1, 0)+I$1), 0)*메인!$J9</f>
        <v>0</v>
      </c>
      <c r="J6" s="23">
        <f t="shared" si="1"/>
        <v>0</v>
      </c>
      <c r="K6" s="58" cm="1">
        <f t="array" ref="K6">IFERROR(INDEX(딜러데이터!$C$3:$BBD$52, ROW()-ROW($B$4)+1, MATCH(K$3, 딜러데이터!$C$1:$AAM$1, 0)+K$1), 0)*메인!$F9</f>
        <v>0</v>
      </c>
      <c r="L6" s="58" cm="1">
        <f t="array" ref="L6">IFERROR(INDEX(서포터데이터!$C$3:$AAW$53, ROW()-ROW($B$4)+1, MATCH(L$3, 서포터데이터!$C$1:$AAW$1, 0)+L$1), 0)*메인!$G9</f>
        <v>0</v>
      </c>
      <c r="M6" s="58" cm="1">
        <f t="array" ref="M6">IFERROR(INDEX(서포터데이터!$C$3:$AAW$53, ROW()-ROW($B$4)+1, MATCH(M$3, 서포터데이터!$C$1:$AAW$1, 0)+M$1), 0)*메인!$H9</f>
        <v>0</v>
      </c>
      <c r="N6" s="58" cm="1">
        <f t="array" ref="N6">IFERROR(INDEX(서포터데이터!$C$3:$AAW$53, ROW()-ROW($B$4)+1, MATCH(N$3, 서포터데이터!$C$1:$AAW$1, 0)+N$1), 0)*메인!$I9</f>
        <v>0</v>
      </c>
      <c r="O6" s="58" cm="1">
        <f t="array" ref="O6">IFERROR(INDEX(서포터데이터!$C$3:$AAW$53, ROW()-ROW($B$4)+1, MATCH(O$3, 서포터데이터!$C$1:$AAW$1, 0)+O$1), 0)*메인!$J9</f>
        <v>0</v>
      </c>
      <c r="P6" s="23">
        <f t="shared" si="2"/>
        <v>0</v>
      </c>
      <c r="Q6" s="58" cm="1">
        <f t="array" ref="Q6">IFERROR(INDEX(딜러데이터!$C$3:$BBD$52, ROW()-ROW($B$4)+1, MATCH(Q$3, 딜러데이터!$C$1:$AAM$1, 0)+Q$1), 0)*메인!$F9</f>
        <v>0</v>
      </c>
      <c r="R6" s="58" cm="1">
        <f t="array" ref="R6">IFERROR(INDEX(서포터데이터!$C$3:$AAW$53, ROW()-ROW($B$4)+1, MATCH(R$3, 서포터데이터!$C$1:$AAW$1, 0)+R$1), 0)*메인!$G9</f>
        <v>0</v>
      </c>
      <c r="S6" s="58" cm="1">
        <f t="array" ref="S6">IFERROR(INDEX(서포터데이터!$C$3:$AAW$53, ROW()-ROW($B$4)+1, MATCH(S$3, 서포터데이터!$C$1:$AAW$1, 0)+S$1), 0)*메인!$H9</f>
        <v>0</v>
      </c>
      <c r="T6" s="58" cm="1">
        <f t="array" ref="T6">IFERROR(INDEX(서포터데이터!$C$3:$AAW$53, ROW()-ROW($B$4)+1, MATCH(T$3, 서포터데이터!$C$1:$AAW$1, 0)+T$1), 0)*메인!$I9</f>
        <v>0</v>
      </c>
      <c r="U6" s="58" cm="1">
        <f t="array" ref="U6">IFERROR(INDEX(서포터데이터!$C$3:$AAW$53, ROW()-ROW($B$4)+1, MATCH(U$3, 서포터데이터!$C$1:$AAW$1, 0)+U$1), 0)*메인!$J9</f>
        <v>0</v>
      </c>
      <c r="V6" s="23">
        <f t="shared" si="3"/>
        <v>0</v>
      </c>
      <c r="W6" s="58" cm="1">
        <f t="array" ref="W6">IFERROR(INDEX(딜러데이터!$C$3:$BBD$52, ROW()-ROW($B$4)+1, MATCH(W$3, 딜러데이터!$C$1:$AAM$1, 0)+W$1), 0)*메인!$F9</f>
        <v>0</v>
      </c>
      <c r="X6" s="58" cm="1">
        <f t="array" ref="X6">IFERROR(INDEX(서포터데이터!$C$3:$AAW$53, ROW()-ROW($B$4)+1, MATCH(X$3, 서포터데이터!$C$1:$AAW$1, 0)+X$1), 0)*메인!$G9</f>
        <v>0</v>
      </c>
      <c r="Y6" s="58" cm="1">
        <f t="array" ref="Y6">IFERROR(INDEX(서포터데이터!$C$3:$AAW$53, ROW()-ROW($B$4)+1, MATCH(Y$3, 서포터데이터!$C$1:$AAW$1, 0)+Y$1), 0)*메인!$H9</f>
        <v>0</v>
      </c>
      <c r="Z6" s="58" cm="1">
        <f t="array" ref="Z6">IFERROR(INDEX(서포터데이터!$C$3:$AAW$53, ROW()-ROW($B$4)+1, MATCH(Z$3, 서포터데이터!$C$1:$AAW$1, 0)+Z$1), 0)*메인!$I9</f>
        <v>0</v>
      </c>
      <c r="AA6" s="58" cm="1">
        <f t="array" ref="AA6">IFERROR(INDEX(서포터데이터!$C$3:$AAW$53, ROW()-ROW($B$4)+1, MATCH(AA$3, 서포터데이터!$C$1:$AAW$1, 0)+AA$1), 0)*메인!$J9</f>
        <v>0</v>
      </c>
      <c r="AB6" s="23">
        <f t="shared" si="4"/>
        <v>0</v>
      </c>
      <c r="AC6" s="58" cm="1">
        <f t="array" ref="AC6">IFERROR(INDEX(딜러데이터!$C$3:$BBD$52, ROW()-ROW($B$4)+1, MATCH(AC$3, 딜러데이터!$C$1:$AAM$1, 0)+AC$1), 0)*메인!$F9</f>
        <v>0</v>
      </c>
      <c r="AD6" s="58" cm="1">
        <f t="array" ref="AD6">IFERROR(INDEX(서포터데이터!$C$3:$AAW$53, ROW()-ROW($B$4)+1, MATCH(AD$3, 서포터데이터!$C$1:$AAW$1, 0)+AD$1), 0)*메인!$G9</f>
        <v>0</v>
      </c>
      <c r="AE6" s="58" cm="1">
        <f t="array" ref="AE6">IFERROR(INDEX(서포터데이터!$C$3:$AAW$53, ROW()-ROW($B$4)+1, MATCH(AE$3, 서포터데이터!$C$1:$AAW$1, 0)+AE$1), 0)*메인!$H9</f>
        <v>0</v>
      </c>
      <c r="AF6" s="58" cm="1">
        <f t="array" ref="AF6">IFERROR(INDEX(서포터데이터!$C$3:$AAW$53, ROW()-ROW($B$4)+1, MATCH(AF$3, 서포터데이터!$C$1:$AAW$1, 0)+AF$1), 0)*메인!$I9</f>
        <v>0</v>
      </c>
      <c r="AG6" s="58" cm="1">
        <f t="array" ref="AG6">IFERROR(INDEX(서포터데이터!$C$3:$AAW$53, ROW()-ROW($B$4)+1, MATCH(AG$3, 서포터데이터!$C$1:$AAW$1, 0)+AG$1), 0)*메인!$J9</f>
        <v>0</v>
      </c>
      <c r="AH6" s="23">
        <f t="shared" si="5"/>
        <v>0</v>
      </c>
      <c r="AI6" s="58" cm="1">
        <f t="array" ref="AI6">IFERROR(INDEX(딜러데이터!$C$3:$BBD$52, ROW()-ROW($B$4)+1, MATCH(AI$3, 딜러데이터!$C$1:$AAM$1, 0)+AI$1), 0)*메인!$F9</f>
        <v>0</v>
      </c>
      <c r="AJ6" s="58" cm="1">
        <f t="array" ref="AJ6">IFERROR(INDEX(서포터데이터!$C$3:$AAW$53, ROW()-ROW($B$4)+1, MATCH(AJ$3, 서포터데이터!$C$1:$AAW$1, 0)+AJ$1), 0)*메인!$G9</f>
        <v>0</v>
      </c>
      <c r="AK6" s="58" cm="1">
        <f t="array" ref="AK6">IFERROR(INDEX(서포터데이터!$C$3:$AAW$53, ROW()-ROW($B$4)+1, MATCH(AK$3, 서포터데이터!$C$1:$AAW$1, 0)+AK$1), 0)*메인!$H9</f>
        <v>0</v>
      </c>
      <c r="AL6" s="58" cm="1">
        <f t="array" ref="AL6">IFERROR(INDEX(서포터데이터!$C$3:$AAW$53, ROW()-ROW($B$4)+1, MATCH(AL$3, 서포터데이터!$C$1:$AAW$1, 0)+AL$1), 0)*메인!$I9</f>
        <v>0</v>
      </c>
      <c r="AM6" s="59" cm="1">
        <f t="array" ref="AM6">IFERROR(INDEX(서포터데이터!$C$3:$AAW$53, ROW()-ROW($B$4)+1, MATCH(AM$3, 서포터데이터!$C$1:$AAW$1, 0)+AM$1), 0)*메인!$J9</f>
        <v>0</v>
      </c>
    </row>
    <row r="7" spans="1:39" x14ac:dyDescent="0.45">
      <c r="A7" s="267" t="s">
        <v>255</v>
      </c>
      <c r="B7" s="158" t="s">
        <v>256</v>
      </c>
      <c r="C7" s="22">
        <f>메인!C19</f>
        <v>0.2</v>
      </c>
      <c r="D7" s="61">
        <f>$C7+SUM(E7:I7)</f>
        <v>1.5044638851523497</v>
      </c>
      <c r="E7" s="24" cm="1">
        <f t="array" ref="E7">IFERROR(INDEX(딜러데이터!$C$3:$AAM$52, ROW()-ROW(E$4)+1, MATCH(E$3, 딜러데이터!$C$1:$AAM$1, 0)+E$1), 0)</f>
        <v>1.3044638851523498</v>
      </c>
      <c r="F7" s="24" cm="1">
        <f t="array" ref="F7">IFERROR(INDEX(서포터데이터!$C$3:$AAY$52, ROW()-ROW(F$4)+1, MATCH(F$3, 서포터데이터!$C$1:$AAY$1, 0)+F$1), 0)</f>
        <v>0</v>
      </c>
      <c r="G7" s="24" cm="1">
        <f t="array" ref="G7">IFERROR(INDEX(서포터데이터!$C$3:$AAY$52, ROW()-ROW(G$4)+1, MATCH(G$3, 서포터데이터!$C$1:$AAY$1, 0)+G$1), 0)</f>
        <v>0</v>
      </c>
      <c r="H7" s="24" cm="1">
        <f t="array" ref="H7">IFERROR(INDEX(서포터데이터!$C$3:$AAY$52, ROW()-ROW(H$4)+1, MATCH(H$3, 서포터데이터!$C$1:$AAY$1, 0)+H$1), 0)</f>
        <v>0</v>
      </c>
      <c r="I7" s="25" cm="1">
        <f t="array" ref="I7">IFERROR(INDEX(서포터데이터!$C$3:$AAY$52, ROW()-ROW(I$4)+1, MATCH(I$3, 서포터데이터!$C$1:$AAY$1, 0)+I$1), 0)</f>
        <v>0</v>
      </c>
      <c r="J7" s="61">
        <f>$C7+SUM(K7:O7)</f>
        <v>1.5044638851523497</v>
      </c>
      <c r="K7" s="24" cm="1">
        <f t="array" ref="K7">IFERROR(INDEX(딜러데이터!$C$3:$AAM$52, ROW()-ROW(K$4)+1, MATCH(K$3, 딜러데이터!$C$1:$AAM$1, 0)+K$1), 0)</f>
        <v>1.3044638851523498</v>
      </c>
      <c r="L7" s="24" cm="1">
        <f t="array" ref="L7">IFERROR(INDEX(서포터데이터!$C$3:$AAY$52, ROW()-ROW(L$4)+1, MATCH(L$3, 서포터데이터!$C$1:$AAY$1, 0)+L$1), 0)</f>
        <v>0</v>
      </c>
      <c r="M7" s="24" cm="1">
        <f t="array" ref="M7">IFERROR(INDEX(서포터데이터!$C$3:$AAY$52, ROW()-ROW(M$4)+1, MATCH(M$3, 서포터데이터!$C$1:$AAY$1, 0)+M$1), 0)</f>
        <v>0</v>
      </c>
      <c r="N7" s="24" cm="1">
        <f t="array" ref="N7">IFERROR(INDEX(서포터데이터!$C$3:$AAY$52, ROW()-ROW(N$4)+1, MATCH(N$3, 서포터데이터!$C$1:$AAY$1, 0)+N$1), 0)</f>
        <v>0</v>
      </c>
      <c r="O7" s="25" cm="1">
        <f t="array" ref="O7">IFERROR(INDEX(서포터데이터!$C$3:$AAY$52, ROW()-ROW(O$4)+1, MATCH(O$3, 서포터데이터!$C$1:$AAY$1, 0)+O$1), 0)</f>
        <v>0</v>
      </c>
      <c r="P7" s="61">
        <f>$C7+SUM(Q7:U7)</f>
        <v>1.5044638851523497</v>
      </c>
      <c r="Q7" s="24" cm="1">
        <f t="array" ref="Q7">IFERROR(INDEX(딜러데이터!$C$3:$AAM$52, ROW()-ROW(Q$4)+1, MATCH(Q$3, 딜러데이터!$C$1:$AAM$1, 0)+Q$1), 0)</f>
        <v>1.3044638851523498</v>
      </c>
      <c r="R7" s="24" cm="1">
        <f t="array" ref="R7">IFERROR(INDEX(서포터데이터!$C$3:$AAY$52, ROW()-ROW(R$4)+1, MATCH(R$3, 서포터데이터!$C$1:$AAY$1, 0)+R$1), 0)</f>
        <v>0</v>
      </c>
      <c r="S7" s="24" cm="1">
        <f t="array" ref="S7">IFERROR(INDEX(서포터데이터!$C$3:$AAY$52, ROW()-ROW(S$4)+1, MATCH(S$3, 서포터데이터!$C$1:$AAY$1, 0)+S$1), 0)</f>
        <v>0</v>
      </c>
      <c r="T7" s="24" cm="1">
        <f t="array" ref="T7">IFERROR(INDEX(서포터데이터!$C$3:$AAY$52, ROW()-ROW(T$4)+1, MATCH(T$3, 서포터데이터!$C$1:$AAY$1, 0)+T$1), 0)</f>
        <v>0</v>
      </c>
      <c r="U7" s="25" cm="1">
        <f t="array" ref="U7">IFERROR(INDEX(서포터데이터!$C$3:$AAY$52, ROW()-ROW(U$4)+1, MATCH(U$3, 서포터데이터!$C$1:$AAY$1, 0)+U$1), 0)</f>
        <v>0</v>
      </c>
      <c r="V7" s="61">
        <f>$C7+SUM(W7:AA7)</f>
        <v>0.2</v>
      </c>
      <c r="W7" s="24" cm="1">
        <f t="array" ref="W7">IFERROR(INDEX(딜러데이터!$C$3:$AAM$52, ROW()-ROW(W$4)+1, MATCH(W$3, 딜러데이터!$C$1:$AAM$1, 0)+W$1), 0)</f>
        <v>0</v>
      </c>
      <c r="X7" s="24" cm="1">
        <f t="array" ref="X7">IFERROR(INDEX(서포터데이터!$C$3:$AAY$52, ROW()-ROW(X$4)+1, MATCH(X$3, 서포터데이터!$C$1:$AAY$1, 0)+X$1), 0)</f>
        <v>0</v>
      </c>
      <c r="Y7" s="24" cm="1">
        <f t="array" ref="Y7">IFERROR(INDEX(서포터데이터!$C$3:$AAY$52, ROW()-ROW(Y$4)+1, MATCH(Y$3, 서포터데이터!$C$1:$AAY$1, 0)+Y$1), 0)</f>
        <v>0</v>
      </c>
      <c r="Z7" s="24" cm="1">
        <f t="array" ref="Z7">IFERROR(INDEX(서포터데이터!$C$3:$AAY$52, ROW()-ROW(Z$4)+1, MATCH(Z$3, 서포터데이터!$C$1:$AAY$1, 0)+Z$1), 0)</f>
        <v>0</v>
      </c>
      <c r="AA7" s="25" cm="1">
        <f t="array" ref="AA7">IFERROR(INDEX(서포터데이터!$C$3:$AAY$52, ROW()-ROW(AA$4)+1, MATCH(AA$3, 서포터데이터!$C$1:$AAY$1, 0)+AA$1), 0)</f>
        <v>0</v>
      </c>
      <c r="AB7" s="61">
        <f>$C7+SUM(AC7:AG7)</f>
        <v>1.5044638851523497</v>
      </c>
      <c r="AC7" s="24" cm="1">
        <f t="array" ref="AC7">IFERROR(INDEX(딜러데이터!$C$3:$AAM$52, ROW()-ROW(AC$4)+1, MATCH(AC$3, 딜러데이터!$C$1:$AAM$1, 0)+AC$1), 0)</f>
        <v>1.3044638851523498</v>
      </c>
      <c r="AD7" s="24" cm="1">
        <f t="array" ref="AD7">IFERROR(INDEX(서포터데이터!$C$3:$AAY$52, ROW()-ROW(AD$4)+1, MATCH(AD$3, 서포터데이터!$C$1:$AAY$1, 0)+AD$1), 0)</f>
        <v>0</v>
      </c>
      <c r="AE7" s="24" cm="1">
        <f t="array" ref="AE7">IFERROR(INDEX(서포터데이터!$C$3:$AAY$52, ROW()-ROW(AE$4)+1, MATCH(AE$3, 서포터데이터!$C$1:$AAY$1, 0)+AE$1), 0)</f>
        <v>0</v>
      </c>
      <c r="AF7" s="24" cm="1">
        <f t="array" ref="AF7">IFERROR(INDEX(서포터데이터!$C$3:$AAY$52, ROW()-ROW(AF$4)+1, MATCH(AF$3, 서포터데이터!$C$1:$AAY$1, 0)+AF$1), 0)</f>
        <v>0</v>
      </c>
      <c r="AG7" s="25" cm="1">
        <f t="array" ref="AG7">IFERROR(INDEX(서포터데이터!$C$3:$AAY$52, ROW()-ROW(AG$4)+1, MATCH(AG$3, 서포터데이터!$C$1:$AAY$1, 0)+AG$1), 0)</f>
        <v>0</v>
      </c>
      <c r="AH7" s="61">
        <f>$C7+SUM(AI7:AM7)</f>
        <v>1.5044638851523497</v>
      </c>
      <c r="AI7" s="24" cm="1">
        <f t="array" ref="AI7">IFERROR(INDEX(딜러데이터!$C$3:$AAM$52, ROW()-ROW(AI$4)+1, MATCH(AI$3, 딜러데이터!$C$1:$AAM$1, 0)+AI$1), 0)</f>
        <v>1.3044638851523498</v>
      </c>
      <c r="AJ7" s="24" cm="1">
        <f t="array" ref="AJ7">IFERROR(INDEX(서포터데이터!$C$3:$AAY$52, ROW()-ROW(AJ$4)+1, MATCH(AJ$3, 서포터데이터!$C$1:$AAY$1, 0)+AJ$1), 0)</f>
        <v>0</v>
      </c>
      <c r="AK7" s="24" cm="1">
        <f t="array" ref="AK7">IFERROR(INDEX(서포터데이터!$C$3:$AAY$52, ROW()-ROW(AK$4)+1, MATCH(AK$3, 서포터데이터!$C$1:$AAY$1, 0)+AK$1), 0)</f>
        <v>0</v>
      </c>
      <c r="AL7" s="24" cm="1">
        <f t="array" ref="AL7">IFERROR(INDEX(서포터데이터!$C$3:$AAY$52, ROW()-ROW(AL$4)+1, MATCH(AL$3, 서포터데이터!$C$1:$AAY$1, 0)+AL$1), 0)</f>
        <v>0</v>
      </c>
      <c r="AM7" s="25" cm="1">
        <f t="array" ref="AM7">IFERROR(INDEX(서포터데이터!$C$3:$AAY$52, ROW()-ROW(AM$4)+1, MATCH(AM$3, 서포터데이터!$C$1:$AAY$1, 0)+AM$1), 0)</f>
        <v>0</v>
      </c>
    </row>
    <row r="8" spans="1:39" x14ac:dyDescent="0.45">
      <c r="A8" s="267"/>
      <c r="B8" s="158" t="s">
        <v>257</v>
      </c>
      <c r="C8" s="22"/>
      <c r="D8" s="61">
        <f t="shared" ref="D8:D20" si="6">$C8+SUM(E8:I8)</f>
        <v>0</v>
      </c>
      <c r="E8" s="24" cm="1">
        <f t="array" ref="E8">IFERROR(INDEX(딜러데이터!$C$3:$AAM$52, ROW()-ROW(E$4)+1, MATCH(E$3, 딜러데이터!$C$1:$AAM$1, 0)+E$1), 0)</f>
        <v>0</v>
      </c>
      <c r="F8" s="24" cm="1">
        <f t="array" ref="F8">IFERROR(INDEX(서포터데이터!$C$3:$AAY$52, ROW()-ROW(F$4)+1, MATCH(F$3, 서포터데이터!$C$1:$AAY$1, 0)+F$1), 0)</f>
        <v>0</v>
      </c>
      <c r="G8" s="24" cm="1">
        <f t="array" ref="G8">IFERROR(INDEX(서포터데이터!$C$3:$AAY$52, ROW()-ROW(G$4)+1, MATCH(G$3, 서포터데이터!$C$1:$AAY$1, 0)+G$1), 0)</f>
        <v>0</v>
      </c>
      <c r="H8" s="24" cm="1">
        <f t="array" ref="H8">IFERROR(INDEX(서포터데이터!$C$3:$AAY$52, ROW()-ROW(H$4)+1, MATCH(H$3, 서포터데이터!$C$1:$AAY$1, 0)+H$1), 0)</f>
        <v>0</v>
      </c>
      <c r="I8" s="25" cm="1">
        <f t="array" ref="I8">IFERROR(INDEX(서포터데이터!$C$3:$AAY$52, ROW()-ROW(I$4)+1, MATCH(I$3, 서포터데이터!$C$1:$AAY$1, 0)+I$1), 0)</f>
        <v>0</v>
      </c>
      <c r="J8" s="61">
        <f>$C8+SUM(K8:O8)</f>
        <v>0</v>
      </c>
      <c r="K8" s="24" cm="1">
        <f t="array" ref="K8">IFERROR(INDEX(딜러데이터!$C$3:$AAM$52, ROW()-ROW(K$4)+1, MATCH(K$3, 딜러데이터!$C$1:$AAM$1, 0)+K$1), 0)</f>
        <v>0</v>
      </c>
      <c r="L8" s="24" cm="1">
        <f t="array" ref="L8">IFERROR(INDEX(서포터데이터!$C$3:$AAY$52, ROW()-ROW(L$4)+1, MATCH(L$3, 서포터데이터!$C$1:$AAY$1, 0)+L$1), 0)</f>
        <v>0</v>
      </c>
      <c r="M8" s="24" cm="1">
        <f t="array" ref="M8">IFERROR(INDEX(서포터데이터!$C$3:$AAY$52, ROW()-ROW(M$4)+1, MATCH(M$3, 서포터데이터!$C$1:$AAY$1, 0)+M$1), 0)</f>
        <v>0</v>
      </c>
      <c r="N8" s="24" cm="1">
        <f t="array" ref="N8">IFERROR(INDEX(서포터데이터!$C$3:$AAY$52, ROW()-ROW(N$4)+1, MATCH(N$3, 서포터데이터!$C$1:$AAY$1, 0)+N$1), 0)</f>
        <v>0</v>
      </c>
      <c r="O8" s="25" cm="1">
        <f t="array" ref="O8">IFERROR(INDEX(서포터데이터!$C$3:$AAY$52, ROW()-ROW(O$4)+1, MATCH(O$3, 서포터데이터!$C$1:$AAY$1, 0)+O$1), 0)</f>
        <v>0</v>
      </c>
      <c r="P8" s="61">
        <f t="shared" ref="P8:P41" si="7">$C8+SUM(Q8:U8)</f>
        <v>0</v>
      </c>
      <c r="Q8" s="24" cm="1">
        <f t="array" ref="Q8">IFERROR(INDEX(딜러데이터!$C$3:$AAM$52, ROW()-ROW(Q$4)+1, MATCH(Q$3, 딜러데이터!$C$1:$AAM$1, 0)+Q$1), 0)</f>
        <v>0</v>
      </c>
      <c r="R8" s="24" cm="1">
        <f t="array" ref="R8">IFERROR(INDEX(서포터데이터!$C$3:$AAY$52, ROW()-ROW(R$4)+1, MATCH(R$3, 서포터데이터!$C$1:$AAY$1, 0)+R$1), 0)</f>
        <v>0</v>
      </c>
      <c r="S8" s="24" cm="1">
        <f t="array" ref="S8">IFERROR(INDEX(서포터데이터!$C$3:$AAY$52, ROW()-ROW(S$4)+1, MATCH(S$3, 서포터데이터!$C$1:$AAY$1, 0)+S$1), 0)</f>
        <v>0</v>
      </c>
      <c r="T8" s="24" cm="1">
        <f t="array" ref="T8">IFERROR(INDEX(서포터데이터!$C$3:$AAY$52, ROW()-ROW(T$4)+1, MATCH(T$3, 서포터데이터!$C$1:$AAY$1, 0)+T$1), 0)</f>
        <v>0</v>
      </c>
      <c r="U8" s="25" cm="1">
        <f t="array" ref="U8">IFERROR(INDEX(서포터데이터!$C$3:$AAY$52, ROW()-ROW(U$4)+1, MATCH(U$3, 서포터데이터!$C$1:$AAY$1, 0)+U$1), 0)</f>
        <v>0</v>
      </c>
      <c r="V8" s="61">
        <f t="shared" ref="V8:V41" si="8">$C8+SUM(W8:AA8)</f>
        <v>0</v>
      </c>
      <c r="W8" s="24" cm="1">
        <f t="array" ref="W8">IFERROR(INDEX(딜러데이터!$C$3:$AAM$52, ROW()-ROW(W$4)+1, MATCH(W$3, 딜러데이터!$C$1:$AAM$1, 0)+W$1), 0)</f>
        <v>0</v>
      </c>
      <c r="X8" s="24" cm="1">
        <f t="array" ref="X8">IFERROR(INDEX(서포터데이터!$C$3:$AAY$52, ROW()-ROW(X$4)+1, MATCH(X$3, 서포터데이터!$C$1:$AAY$1, 0)+X$1), 0)</f>
        <v>0</v>
      </c>
      <c r="Y8" s="24" cm="1">
        <f t="array" ref="Y8">IFERROR(INDEX(서포터데이터!$C$3:$AAY$52, ROW()-ROW(Y$4)+1, MATCH(Y$3, 서포터데이터!$C$1:$AAY$1, 0)+Y$1), 0)</f>
        <v>0</v>
      </c>
      <c r="Z8" s="24" cm="1">
        <f t="array" ref="Z8">IFERROR(INDEX(서포터데이터!$C$3:$AAY$52, ROW()-ROW(Z$4)+1, MATCH(Z$3, 서포터데이터!$C$1:$AAY$1, 0)+Z$1), 0)</f>
        <v>0</v>
      </c>
      <c r="AA8" s="25" cm="1">
        <f t="array" ref="AA8">IFERROR(INDEX(서포터데이터!$C$3:$AAY$52, ROW()-ROW(AA$4)+1, MATCH(AA$3, 서포터데이터!$C$1:$AAY$1, 0)+AA$1), 0)</f>
        <v>0</v>
      </c>
      <c r="AB8" s="61">
        <f t="shared" ref="AB8:AB41" si="9">$C8+SUM(AC8:AG8)</f>
        <v>0</v>
      </c>
      <c r="AC8" s="24" cm="1">
        <f t="array" ref="AC8">IFERROR(INDEX(딜러데이터!$C$3:$AAM$52, ROW()-ROW(AC$4)+1, MATCH(AC$3, 딜러데이터!$C$1:$AAM$1, 0)+AC$1), 0)</f>
        <v>0</v>
      </c>
      <c r="AD8" s="24" cm="1">
        <f t="array" ref="AD8">IFERROR(INDEX(서포터데이터!$C$3:$AAY$52, ROW()-ROW(AD$4)+1, MATCH(AD$3, 서포터데이터!$C$1:$AAY$1, 0)+AD$1), 0)</f>
        <v>0</v>
      </c>
      <c r="AE8" s="24" cm="1">
        <f t="array" ref="AE8">IFERROR(INDEX(서포터데이터!$C$3:$AAY$52, ROW()-ROW(AE$4)+1, MATCH(AE$3, 서포터데이터!$C$1:$AAY$1, 0)+AE$1), 0)</f>
        <v>0</v>
      </c>
      <c r="AF8" s="24" cm="1">
        <f t="array" ref="AF8">IFERROR(INDEX(서포터데이터!$C$3:$AAY$52, ROW()-ROW(AF$4)+1, MATCH(AF$3, 서포터데이터!$C$1:$AAY$1, 0)+AF$1), 0)</f>
        <v>0</v>
      </c>
      <c r="AG8" s="25" cm="1">
        <f t="array" ref="AG8">IFERROR(INDEX(서포터데이터!$C$3:$AAY$52, ROW()-ROW(AG$4)+1, MATCH(AG$3, 서포터데이터!$C$1:$AAY$1, 0)+AG$1), 0)</f>
        <v>0</v>
      </c>
      <c r="AH8" s="61">
        <f t="shared" ref="AH8:AH41" si="10">$C8+SUM(AI8:AM8)</f>
        <v>0</v>
      </c>
      <c r="AI8" s="24" cm="1">
        <f t="array" ref="AI8">IFERROR(INDEX(딜러데이터!$C$3:$AAM$52, ROW()-ROW(AI$4)+1, MATCH(AI$3, 딜러데이터!$C$1:$AAM$1, 0)+AI$1), 0)</f>
        <v>0</v>
      </c>
      <c r="AJ8" s="24" cm="1">
        <f t="array" ref="AJ8">IFERROR(INDEX(서포터데이터!$C$3:$AAY$52, ROW()-ROW(AJ$4)+1, MATCH(AJ$3, 서포터데이터!$C$1:$AAY$1, 0)+AJ$1), 0)</f>
        <v>0</v>
      </c>
      <c r="AK8" s="24" cm="1">
        <f t="array" ref="AK8">IFERROR(INDEX(서포터데이터!$C$3:$AAY$52, ROW()-ROW(AK$4)+1, MATCH(AK$3, 서포터데이터!$C$1:$AAY$1, 0)+AK$1), 0)</f>
        <v>0</v>
      </c>
      <c r="AL8" s="24" cm="1">
        <f t="array" ref="AL8">IFERROR(INDEX(서포터데이터!$C$3:$AAY$52, ROW()-ROW(AL$4)+1, MATCH(AL$3, 서포터데이터!$C$1:$AAY$1, 0)+AL$1), 0)</f>
        <v>0</v>
      </c>
      <c r="AM8" s="25" cm="1">
        <f t="array" ref="AM8">IFERROR(INDEX(서포터데이터!$C$3:$AAY$52, ROW()-ROW(AM$4)+1, MATCH(AM$3, 서포터데이터!$C$1:$AAY$1, 0)+AM$1), 0)</f>
        <v>0</v>
      </c>
    </row>
    <row r="9" spans="1:39" x14ac:dyDescent="0.45">
      <c r="A9" s="270" t="s">
        <v>258</v>
      </c>
      <c r="B9" s="158" t="s">
        <v>259</v>
      </c>
      <c r="C9" s="22"/>
      <c r="D9" s="61">
        <f t="shared" si="6"/>
        <v>0.15040000000000001</v>
      </c>
      <c r="E9" s="24" cm="1">
        <f t="array" ref="E9">IFERROR(INDEX(딜러데이터!$C$3:$AAM$52, ROW()-ROW(E$4)+1, MATCH(E$3, 딜러데이터!$C$1:$AAM$1, 0)+E$1), 0)</f>
        <v>0</v>
      </c>
      <c r="F9" s="24" cm="1">
        <f t="array" ref="F9">IFERROR(INDEX(서포터데이터!$C$3:$AAY$52, ROW()-ROW(F$4)+1, MATCH(F$3, 서포터데이터!$C$1:$AAY$1, 0)+F$1), 0)</f>
        <v>0</v>
      </c>
      <c r="G9" s="24" cm="1">
        <f t="array" ref="G9">IFERROR(INDEX(서포터데이터!$C$3:$AAY$52, ROW()-ROW(G$4)+1, MATCH(G$3, 서포터데이터!$C$1:$AAY$1, 0)+G$1), 0)</f>
        <v>0.15040000000000001</v>
      </c>
      <c r="H9" s="24" cm="1">
        <f t="array" ref="H9">IFERROR(INDEX(서포터데이터!$C$3:$AAY$52, ROW()-ROW(H$4)+1, MATCH(H$3, 서포터데이터!$C$1:$AAY$1, 0)+H$1), 0)</f>
        <v>0</v>
      </c>
      <c r="I9" s="25" cm="1">
        <f t="array" ref="I9">IFERROR(INDEX(서포터데이터!$C$3:$AAY$52, ROW()-ROW(I$4)+1, MATCH(I$3, 서포터데이터!$C$1:$AAY$1, 0)+I$1), 0)</f>
        <v>0</v>
      </c>
      <c r="J9" s="61">
        <f t="shared" ref="J9:J41" si="11">$C9+SUM(K9:O9)</f>
        <v>0.49040000000000006</v>
      </c>
      <c r="K9" s="24" cm="1">
        <f t="array" ref="K9">IFERROR(INDEX(딜러데이터!$C$3:$AAM$52, ROW()-ROW(K$4)+1, MATCH(K$3, 딜러데이터!$C$1:$AAM$1, 0)+K$1), 0)</f>
        <v>0</v>
      </c>
      <c r="L9" s="24" cm="1">
        <f t="array" ref="L9">IFERROR(INDEX(서포터데이터!$C$3:$AAY$52, ROW()-ROW(L$4)+1, MATCH(L$3, 서포터데이터!$C$1:$AAY$1, 0)+L$1), 0)</f>
        <v>0.34</v>
      </c>
      <c r="M9" s="24" cm="1">
        <f t="array" ref="M9">IFERROR(INDEX(서포터데이터!$C$3:$AAY$52, ROW()-ROW(M$4)+1, MATCH(M$3, 서포터데이터!$C$1:$AAY$1, 0)+M$1), 0)</f>
        <v>0.15040000000000001</v>
      </c>
      <c r="N9" s="24" cm="1">
        <f t="array" ref="N9">IFERROR(INDEX(서포터데이터!$C$3:$AAY$52, ROW()-ROW(N$4)+1, MATCH(N$3, 서포터데이터!$C$1:$AAY$1, 0)+N$1), 0)</f>
        <v>0</v>
      </c>
      <c r="O9" s="25" cm="1">
        <f t="array" ref="O9">IFERROR(INDEX(서포터데이터!$C$3:$AAY$52, ROW()-ROW(O$4)+1, MATCH(O$3, 서포터데이터!$C$1:$AAY$1, 0)+O$1), 0)</f>
        <v>0</v>
      </c>
      <c r="P9" s="61">
        <f t="shared" si="7"/>
        <v>0.49040000000000006</v>
      </c>
      <c r="Q9" s="24" cm="1">
        <f t="array" ref="Q9">IFERROR(INDEX(딜러데이터!$C$3:$AAM$52, ROW()-ROW(Q$4)+1, MATCH(Q$3, 딜러데이터!$C$1:$AAM$1, 0)+Q$1), 0)</f>
        <v>0</v>
      </c>
      <c r="R9" s="24" cm="1">
        <f t="array" ref="R9">IFERROR(INDEX(서포터데이터!$C$3:$AAY$52, ROW()-ROW(R$4)+1, MATCH(R$3, 서포터데이터!$C$1:$AAY$1, 0)+R$1), 0)</f>
        <v>0.34</v>
      </c>
      <c r="S9" s="24" cm="1">
        <f t="array" ref="S9">IFERROR(INDEX(서포터데이터!$C$3:$AAY$52, ROW()-ROW(S$4)+1, MATCH(S$3, 서포터데이터!$C$1:$AAY$1, 0)+S$1), 0)</f>
        <v>0.15040000000000001</v>
      </c>
      <c r="T9" s="24" cm="1">
        <f t="array" ref="T9">IFERROR(INDEX(서포터데이터!$C$3:$AAY$52, ROW()-ROW(T$4)+1, MATCH(T$3, 서포터데이터!$C$1:$AAY$1, 0)+T$1), 0)</f>
        <v>0</v>
      </c>
      <c r="U9" s="25" cm="1">
        <f t="array" ref="U9">IFERROR(INDEX(서포터데이터!$C$3:$AAY$52, ROW()-ROW(U$4)+1, MATCH(U$3, 서포터데이터!$C$1:$AAY$1, 0)+U$1), 0)</f>
        <v>0</v>
      </c>
      <c r="V9" s="61">
        <f t="shared" si="8"/>
        <v>0</v>
      </c>
      <c r="W9" s="24" cm="1">
        <f t="array" ref="W9">IFERROR(INDEX(딜러데이터!$C$3:$AAM$52, ROW()-ROW(W$4)+1, MATCH(W$3, 딜러데이터!$C$1:$AAM$1, 0)+W$1), 0)</f>
        <v>0</v>
      </c>
      <c r="X9" s="24" cm="1">
        <f t="array" ref="X9">IFERROR(INDEX(서포터데이터!$C$3:$AAY$52, ROW()-ROW(X$4)+1, MATCH(X$3, 서포터데이터!$C$1:$AAY$1, 0)+X$1), 0)</f>
        <v>0</v>
      </c>
      <c r="Y9" s="24" cm="1">
        <f t="array" ref="Y9">IFERROR(INDEX(서포터데이터!$C$3:$AAY$52, ROW()-ROW(Y$4)+1, MATCH(Y$3, 서포터데이터!$C$1:$AAY$1, 0)+Y$1), 0)</f>
        <v>0</v>
      </c>
      <c r="Z9" s="24" cm="1">
        <f t="array" ref="Z9">IFERROR(INDEX(서포터데이터!$C$3:$AAY$52, ROW()-ROW(Z$4)+1, MATCH(Z$3, 서포터데이터!$C$1:$AAY$1, 0)+Z$1), 0)</f>
        <v>0</v>
      </c>
      <c r="AA9" s="25" cm="1">
        <f t="array" ref="AA9">IFERROR(INDEX(서포터데이터!$C$3:$AAY$52, ROW()-ROW(AA$4)+1, MATCH(AA$3, 서포터데이터!$C$1:$AAY$1, 0)+AA$1), 0)</f>
        <v>0</v>
      </c>
      <c r="AB9" s="61">
        <f t="shared" si="9"/>
        <v>0.34</v>
      </c>
      <c r="AC9" s="24" cm="1">
        <f t="array" ref="AC9">IFERROR(INDEX(딜러데이터!$C$3:$AAM$52, ROW()-ROW(AC$4)+1, MATCH(AC$3, 딜러데이터!$C$1:$AAM$1, 0)+AC$1), 0)</f>
        <v>0</v>
      </c>
      <c r="AD9" s="24" cm="1">
        <f t="array" ref="AD9">IFERROR(INDEX(서포터데이터!$C$3:$AAY$52, ROW()-ROW(AD$4)+1, MATCH(AD$3, 서포터데이터!$C$1:$AAY$1, 0)+AD$1), 0)</f>
        <v>0.34</v>
      </c>
      <c r="AE9" s="24" cm="1">
        <f t="array" ref="AE9">IFERROR(INDEX(서포터데이터!$C$3:$AAY$52, ROW()-ROW(AE$4)+1, MATCH(AE$3, 서포터데이터!$C$1:$AAY$1, 0)+AE$1), 0)</f>
        <v>0</v>
      </c>
      <c r="AF9" s="24" cm="1">
        <f t="array" ref="AF9">IFERROR(INDEX(서포터데이터!$C$3:$AAY$52, ROW()-ROW(AF$4)+1, MATCH(AF$3, 서포터데이터!$C$1:$AAY$1, 0)+AF$1), 0)</f>
        <v>0</v>
      </c>
      <c r="AG9" s="25" cm="1">
        <f t="array" ref="AG9">IFERROR(INDEX(서포터데이터!$C$3:$AAY$52, ROW()-ROW(AG$4)+1, MATCH(AG$3, 서포터데이터!$C$1:$AAY$1, 0)+AG$1), 0)</f>
        <v>0</v>
      </c>
      <c r="AH9" s="61">
        <f t="shared" si="10"/>
        <v>0.34</v>
      </c>
      <c r="AI9" s="24" cm="1">
        <f t="array" ref="AI9">IFERROR(INDEX(딜러데이터!$C$3:$AAM$52, ROW()-ROW(AI$4)+1, MATCH(AI$3, 딜러데이터!$C$1:$AAM$1, 0)+AI$1), 0)</f>
        <v>0</v>
      </c>
      <c r="AJ9" s="24" cm="1">
        <f t="array" ref="AJ9">IFERROR(INDEX(서포터데이터!$C$3:$AAY$52, ROW()-ROW(AJ$4)+1, MATCH(AJ$3, 서포터데이터!$C$1:$AAY$1, 0)+AJ$1), 0)</f>
        <v>0.34</v>
      </c>
      <c r="AK9" s="24" cm="1">
        <f t="array" ref="AK9">IFERROR(INDEX(서포터데이터!$C$3:$AAY$52, ROW()-ROW(AK$4)+1, MATCH(AK$3, 서포터데이터!$C$1:$AAY$1, 0)+AK$1), 0)</f>
        <v>0</v>
      </c>
      <c r="AL9" s="24" cm="1">
        <f t="array" ref="AL9">IFERROR(INDEX(서포터데이터!$C$3:$AAY$52, ROW()-ROW(AL$4)+1, MATCH(AL$3, 서포터데이터!$C$1:$AAY$1, 0)+AL$1), 0)</f>
        <v>0</v>
      </c>
      <c r="AM9" s="25" cm="1">
        <f t="array" ref="AM9">IFERROR(INDEX(서포터데이터!$C$3:$AAY$52, ROW()-ROW(AM$4)+1, MATCH(AM$3, 서포터데이터!$C$1:$AAY$1, 0)+AM$1), 0)</f>
        <v>0</v>
      </c>
    </row>
    <row r="10" spans="1:39" x14ac:dyDescent="0.45">
      <c r="A10" s="267"/>
      <c r="B10" s="158" t="s">
        <v>260</v>
      </c>
      <c r="C10" s="22"/>
      <c r="D10" s="61">
        <f t="shared" si="6"/>
        <v>0</v>
      </c>
      <c r="E10" s="24" cm="1">
        <f t="array" ref="E10">IFERROR(INDEX(딜러데이터!$C$3:$AAM$52, ROW()-ROW(E$4)+1, MATCH(E$3, 딜러데이터!$C$1:$AAM$1, 0)+E$1), 0)</f>
        <v>0</v>
      </c>
      <c r="F10" s="24" cm="1">
        <f t="array" ref="F10">IFERROR(INDEX(서포터데이터!$C$3:$AAY$52, ROW()-ROW(F$4)+1, MATCH(F$3, 서포터데이터!$C$1:$AAY$1, 0)+F$1), 0)</f>
        <v>0</v>
      </c>
      <c r="G10" s="24" cm="1">
        <f t="array" ref="G10">IFERROR(INDEX(서포터데이터!$C$3:$AAY$52, ROW()-ROW(G$4)+1, MATCH(G$3, 서포터데이터!$C$1:$AAY$1, 0)+G$1), 0)</f>
        <v>0</v>
      </c>
      <c r="H10" s="24" cm="1">
        <f t="array" ref="H10">IFERROR(INDEX(서포터데이터!$C$3:$AAY$52, ROW()-ROW(H$4)+1, MATCH(H$3, 서포터데이터!$C$1:$AAY$1, 0)+H$1), 0)</f>
        <v>0</v>
      </c>
      <c r="I10" s="25" cm="1">
        <f t="array" ref="I10">IFERROR(INDEX(서포터데이터!$C$3:$AAY$52, ROW()-ROW(I$4)+1, MATCH(I$3, 서포터데이터!$C$1:$AAY$1, 0)+I$1), 0)</f>
        <v>0</v>
      </c>
      <c r="J10" s="61">
        <f t="shared" si="11"/>
        <v>0</v>
      </c>
      <c r="K10" s="24" cm="1">
        <f t="array" ref="K10">IFERROR(INDEX(딜러데이터!$C$3:$AAM$52, ROW()-ROW(K$4)+1, MATCH(K$3, 딜러데이터!$C$1:$AAM$1, 0)+K$1), 0)</f>
        <v>0</v>
      </c>
      <c r="L10" s="24" cm="1">
        <f t="array" ref="L10">IFERROR(INDEX(서포터데이터!$C$3:$AAY$52, ROW()-ROW(L$4)+1, MATCH(L$3, 서포터데이터!$C$1:$AAY$1, 0)+L$1), 0)</f>
        <v>0</v>
      </c>
      <c r="M10" s="24" cm="1">
        <f t="array" ref="M10">IFERROR(INDEX(서포터데이터!$C$3:$AAY$52, ROW()-ROW(M$4)+1, MATCH(M$3, 서포터데이터!$C$1:$AAY$1, 0)+M$1), 0)</f>
        <v>0</v>
      </c>
      <c r="N10" s="24" cm="1">
        <f t="array" ref="N10">IFERROR(INDEX(서포터데이터!$C$3:$AAY$52, ROW()-ROW(N$4)+1, MATCH(N$3, 서포터데이터!$C$1:$AAY$1, 0)+N$1), 0)</f>
        <v>0</v>
      </c>
      <c r="O10" s="25" cm="1">
        <f t="array" ref="O10">IFERROR(INDEX(서포터데이터!$C$3:$AAY$52, ROW()-ROW(O$4)+1, MATCH(O$3, 서포터데이터!$C$1:$AAY$1, 0)+O$1), 0)</f>
        <v>0</v>
      </c>
      <c r="P10" s="61">
        <f t="shared" si="7"/>
        <v>0</v>
      </c>
      <c r="Q10" s="24" cm="1">
        <f t="array" ref="Q10">IFERROR(INDEX(딜러데이터!$C$3:$AAM$52, ROW()-ROW(Q$4)+1, MATCH(Q$3, 딜러데이터!$C$1:$AAM$1, 0)+Q$1), 0)</f>
        <v>0</v>
      </c>
      <c r="R10" s="24" cm="1">
        <f t="array" ref="R10">IFERROR(INDEX(서포터데이터!$C$3:$AAY$52, ROW()-ROW(R$4)+1, MATCH(R$3, 서포터데이터!$C$1:$AAY$1, 0)+R$1), 0)</f>
        <v>0</v>
      </c>
      <c r="S10" s="24" cm="1">
        <f t="array" ref="S10">IFERROR(INDEX(서포터데이터!$C$3:$AAY$52, ROW()-ROW(S$4)+1, MATCH(S$3, 서포터데이터!$C$1:$AAY$1, 0)+S$1), 0)</f>
        <v>0</v>
      </c>
      <c r="T10" s="24" cm="1">
        <f t="array" ref="T10">IFERROR(INDEX(서포터데이터!$C$3:$AAY$52, ROW()-ROW(T$4)+1, MATCH(T$3, 서포터데이터!$C$1:$AAY$1, 0)+T$1), 0)</f>
        <v>0</v>
      </c>
      <c r="U10" s="25" cm="1">
        <f t="array" ref="U10">IFERROR(INDEX(서포터데이터!$C$3:$AAY$52, ROW()-ROW(U$4)+1, MATCH(U$3, 서포터데이터!$C$1:$AAY$1, 0)+U$1), 0)</f>
        <v>0</v>
      </c>
      <c r="V10" s="61">
        <f t="shared" si="8"/>
        <v>0</v>
      </c>
      <c r="W10" s="24" cm="1">
        <f t="array" ref="W10">IFERROR(INDEX(딜러데이터!$C$3:$AAM$52, ROW()-ROW(W$4)+1, MATCH(W$3, 딜러데이터!$C$1:$AAM$1, 0)+W$1), 0)</f>
        <v>0</v>
      </c>
      <c r="X10" s="24" cm="1">
        <f t="array" ref="X10">IFERROR(INDEX(서포터데이터!$C$3:$AAY$52, ROW()-ROW(X$4)+1, MATCH(X$3, 서포터데이터!$C$1:$AAY$1, 0)+X$1), 0)</f>
        <v>0</v>
      </c>
      <c r="Y10" s="24" cm="1">
        <f t="array" ref="Y10">IFERROR(INDEX(서포터데이터!$C$3:$AAY$52, ROW()-ROW(Y$4)+1, MATCH(Y$3, 서포터데이터!$C$1:$AAY$1, 0)+Y$1), 0)</f>
        <v>0</v>
      </c>
      <c r="Z10" s="24" cm="1">
        <f t="array" ref="Z10">IFERROR(INDEX(서포터데이터!$C$3:$AAY$52, ROW()-ROW(Z$4)+1, MATCH(Z$3, 서포터데이터!$C$1:$AAY$1, 0)+Z$1), 0)</f>
        <v>0</v>
      </c>
      <c r="AA10" s="25" cm="1">
        <f t="array" ref="AA10">IFERROR(INDEX(서포터데이터!$C$3:$AAY$52, ROW()-ROW(AA$4)+1, MATCH(AA$3, 서포터데이터!$C$1:$AAY$1, 0)+AA$1), 0)</f>
        <v>0</v>
      </c>
      <c r="AB10" s="61">
        <f t="shared" si="9"/>
        <v>0</v>
      </c>
      <c r="AC10" s="24" cm="1">
        <f t="array" ref="AC10">IFERROR(INDEX(딜러데이터!$C$3:$AAM$52, ROW()-ROW(AC$4)+1, MATCH(AC$3, 딜러데이터!$C$1:$AAM$1, 0)+AC$1), 0)</f>
        <v>0</v>
      </c>
      <c r="AD10" s="24" cm="1">
        <f t="array" ref="AD10">IFERROR(INDEX(서포터데이터!$C$3:$AAY$52, ROW()-ROW(AD$4)+1, MATCH(AD$3, 서포터데이터!$C$1:$AAY$1, 0)+AD$1), 0)</f>
        <v>0</v>
      </c>
      <c r="AE10" s="24" cm="1">
        <f t="array" ref="AE10">IFERROR(INDEX(서포터데이터!$C$3:$AAY$52, ROW()-ROW(AE$4)+1, MATCH(AE$3, 서포터데이터!$C$1:$AAY$1, 0)+AE$1), 0)</f>
        <v>0</v>
      </c>
      <c r="AF10" s="24" cm="1">
        <f t="array" ref="AF10">IFERROR(INDEX(서포터데이터!$C$3:$AAY$52, ROW()-ROW(AF$4)+1, MATCH(AF$3, 서포터데이터!$C$1:$AAY$1, 0)+AF$1), 0)</f>
        <v>0</v>
      </c>
      <c r="AG10" s="25" cm="1">
        <f t="array" ref="AG10">IFERROR(INDEX(서포터데이터!$C$3:$AAY$52, ROW()-ROW(AG$4)+1, MATCH(AG$3, 서포터데이터!$C$1:$AAY$1, 0)+AG$1), 0)</f>
        <v>0</v>
      </c>
      <c r="AH10" s="61">
        <f t="shared" si="10"/>
        <v>0</v>
      </c>
      <c r="AI10" s="24" cm="1">
        <f t="array" ref="AI10">IFERROR(INDEX(딜러데이터!$C$3:$AAM$52, ROW()-ROW(AI$4)+1, MATCH(AI$3, 딜러데이터!$C$1:$AAM$1, 0)+AI$1), 0)</f>
        <v>0</v>
      </c>
      <c r="AJ10" s="24" cm="1">
        <f t="array" ref="AJ10">IFERROR(INDEX(서포터데이터!$C$3:$AAY$52, ROW()-ROW(AJ$4)+1, MATCH(AJ$3, 서포터데이터!$C$1:$AAY$1, 0)+AJ$1), 0)</f>
        <v>0</v>
      </c>
      <c r="AK10" s="24" cm="1">
        <f t="array" ref="AK10">IFERROR(INDEX(서포터데이터!$C$3:$AAY$52, ROW()-ROW(AK$4)+1, MATCH(AK$3, 서포터데이터!$C$1:$AAY$1, 0)+AK$1), 0)</f>
        <v>0</v>
      </c>
      <c r="AL10" s="24" cm="1">
        <f t="array" ref="AL10">IFERROR(INDEX(서포터데이터!$C$3:$AAY$52, ROW()-ROW(AL$4)+1, MATCH(AL$3, 서포터데이터!$C$1:$AAY$1, 0)+AL$1), 0)</f>
        <v>0</v>
      </c>
      <c r="AM10" s="25" cm="1">
        <f t="array" ref="AM10">IFERROR(INDEX(서포터데이터!$C$3:$AAY$52, ROW()-ROW(AM$4)+1, MATCH(AM$3, 서포터데이터!$C$1:$AAY$1, 0)+AM$1), 0)</f>
        <v>0</v>
      </c>
    </row>
    <row r="11" spans="1:39" x14ac:dyDescent="0.45">
      <c r="A11" s="267"/>
      <c r="B11" s="158" t="s">
        <v>261</v>
      </c>
      <c r="C11" s="22"/>
      <c r="D11" s="61">
        <f t="shared" si="6"/>
        <v>0</v>
      </c>
      <c r="E11" s="24" cm="1">
        <f t="array" ref="E11">IFERROR(INDEX(딜러데이터!$C$3:$AAM$52, ROW()-ROW(E$4)+1, MATCH(E$3, 딜러데이터!$C$1:$AAM$1, 0)+E$1), 0)</f>
        <v>0</v>
      </c>
      <c r="F11" s="24" cm="1">
        <f t="array" ref="F11">IFERROR(INDEX(서포터데이터!$C$3:$AAY$52, ROW()-ROW(F$4)+1, MATCH(F$3, 서포터데이터!$C$1:$AAY$1, 0)+F$1), 0)</f>
        <v>0</v>
      </c>
      <c r="G11" s="24" cm="1">
        <f t="array" ref="G11">IFERROR(INDEX(서포터데이터!$C$3:$AAY$52, ROW()-ROW(G$4)+1, MATCH(G$3, 서포터데이터!$C$1:$AAY$1, 0)+G$1), 0)</f>
        <v>0</v>
      </c>
      <c r="H11" s="24" cm="1">
        <f t="array" ref="H11">IFERROR(INDEX(서포터데이터!$C$3:$AAY$52, ROW()-ROW(H$4)+1, MATCH(H$3, 서포터데이터!$C$1:$AAY$1, 0)+H$1), 0)</f>
        <v>0</v>
      </c>
      <c r="I11" s="25" cm="1">
        <f t="array" ref="I11">IFERROR(INDEX(서포터데이터!$C$3:$AAY$52, ROW()-ROW(I$4)+1, MATCH(I$3, 서포터데이터!$C$1:$AAY$1, 0)+I$1), 0)</f>
        <v>0</v>
      </c>
      <c r="J11" s="61">
        <f t="shared" si="11"/>
        <v>0</v>
      </c>
      <c r="K11" s="24" cm="1">
        <f t="array" ref="K11">IFERROR(INDEX(딜러데이터!$C$3:$AAM$52, ROW()-ROW(K$4)+1, MATCH(K$3, 딜러데이터!$C$1:$AAM$1, 0)+K$1), 0)</f>
        <v>0</v>
      </c>
      <c r="L11" s="24" cm="1">
        <f t="array" ref="L11">IFERROR(INDEX(서포터데이터!$C$3:$AAY$52, ROW()-ROW(L$4)+1, MATCH(L$3, 서포터데이터!$C$1:$AAY$1, 0)+L$1), 0)</f>
        <v>0</v>
      </c>
      <c r="M11" s="24" cm="1">
        <f t="array" ref="M11">IFERROR(INDEX(서포터데이터!$C$3:$AAY$52, ROW()-ROW(M$4)+1, MATCH(M$3, 서포터데이터!$C$1:$AAY$1, 0)+M$1), 0)</f>
        <v>0</v>
      </c>
      <c r="N11" s="24" cm="1">
        <f t="array" ref="N11">IFERROR(INDEX(서포터데이터!$C$3:$AAY$52, ROW()-ROW(N$4)+1, MATCH(N$3, 서포터데이터!$C$1:$AAY$1, 0)+N$1), 0)</f>
        <v>0</v>
      </c>
      <c r="O11" s="25" cm="1">
        <f t="array" ref="O11">IFERROR(INDEX(서포터데이터!$C$3:$AAY$52, ROW()-ROW(O$4)+1, MATCH(O$3, 서포터데이터!$C$1:$AAY$1, 0)+O$1), 0)</f>
        <v>0</v>
      </c>
      <c r="P11" s="61">
        <f t="shared" si="7"/>
        <v>0</v>
      </c>
      <c r="Q11" s="24" cm="1">
        <f t="array" ref="Q11">IFERROR(INDEX(딜러데이터!$C$3:$AAM$52, ROW()-ROW(Q$4)+1, MATCH(Q$3, 딜러데이터!$C$1:$AAM$1, 0)+Q$1), 0)</f>
        <v>0</v>
      </c>
      <c r="R11" s="24" cm="1">
        <f t="array" ref="R11">IFERROR(INDEX(서포터데이터!$C$3:$AAY$52, ROW()-ROW(R$4)+1, MATCH(R$3, 서포터데이터!$C$1:$AAY$1, 0)+R$1), 0)</f>
        <v>0</v>
      </c>
      <c r="S11" s="24" cm="1">
        <f t="array" ref="S11">IFERROR(INDEX(서포터데이터!$C$3:$AAY$52, ROW()-ROW(S$4)+1, MATCH(S$3, 서포터데이터!$C$1:$AAY$1, 0)+S$1), 0)</f>
        <v>0</v>
      </c>
      <c r="T11" s="24" cm="1">
        <f t="array" ref="T11">IFERROR(INDEX(서포터데이터!$C$3:$AAY$52, ROW()-ROW(T$4)+1, MATCH(T$3, 서포터데이터!$C$1:$AAY$1, 0)+T$1), 0)</f>
        <v>0</v>
      </c>
      <c r="U11" s="25" cm="1">
        <f t="array" ref="U11">IFERROR(INDEX(서포터데이터!$C$3:$AAY$52, ROW()-ROW(U$4)+1, MATCH(U$3, 서포터데이터!$C$1:$AAY$1, 0)+U$1), 0)</f>
        <v>0</v>
      </c>
      <c r="V11" s="61">
        <f t="shared" si="8"/>
        <v>0</v>
      </c>
      <c r="W11" s="24" cm="1">
        <f t="array" ref="W11">IFERROR(INDEX(딜러데이터!$C$3:$AAM$52, ROW()-ROW(W$4)+1, MATCH(W$3, 딜러데이터!$C$1:$AAM$1, 0)+W$1), 0)</f>
        <v>0</v>
      </c>
      <c r="X11" s="24" cm="1">
        <f t="array" ref="X11">IFERROR(INDEX(서포터데이터!$C$3:$AAY$52, ROW()-ROW(X$4)+1, MATCH(X$3, 서포터데이터!$C$1:$AAY$1, 0)+X$1), 0)</f>
        <v>0</v>
      </c>
      <c r="Y11" s="24" cm="1">
        <f t="array" ref="Y11">IFERROR(INDEX(서포터데이터!$C$3:$AAY$52, ROW()-ROW(Y$4)+1, MATCH(Y$3, 서포터데이터!$C$1:$AAY$1, 0)+Y$1), 0)</f>
        <v>0</v>
      </c>
      <c r="Z11" s="24" cm="1">
        <f t="array" ref="Z11">IFERROR(INDEX(서포터데이터!$C$3:$AAY$52, ROW()-ROW(Z$4)+1, MATCH(Z$3, 서포터데이터!$C$1:$AAY$1, 0)+Z$1), 0)</f>
        <v>0</v>
      </c>
      <c r="AA11" s="25" cm="1">
        <f t="array" ref="AA11">IFERROR(INDEX(서포터데이터!$C$3:$AAY$52, ROW()-ROW(AA$4)+1, MATCH(AA$3, 서포터데이터!$C$1:$AAY$1, 0)+AA$1), 0)</f>
        <v>0</v>
      </c>
      <c r="AB11" s="61">
        <f t="shared" si="9"/>
        <v>0</v>
      </c>
      <c r="AC11" s="24" cm="1">
        <f t="array" ref="AC11">IFERROR(INDEX(딜러데이터!$C$3:$AAM$52, ROW()-ROW(AC$4)+1, MATCH(AC$3, 딜러데이터!$C$1:$AAM$1, 0)+AC$1), 0)</f>
        <v>0</v>
      </c>
      <c r="AD11" s="24" cm="1">
        <f t="array" ref="AD11">IFERROR(INDEX(서포터데이터!$C$3:$AAY$52, ROW()-ROW(AD$4)+1, MATCH(AD$3, 서포터데이터!$C$1:$AAY$1, 0)+AD$1), 0)</f>
        <v>0</v>
      </c>
      <c r="AE11" s="24" cm="1">
        <f t="array" ref="AE11">IFERROR(INDEX(서포터데이터!$C$3:$AAY$52, ROW()-ROW(AE$4)+1, MATCH(AE$3, 서포터데이터!$C$1:$AAY$1, 0)+AE$1), 0)</f>
        <v>0</v>
      </c>
      <c r="AF11" s="24" cm="1">
        <f t="array" ref="AF11">IFERROR(INDEX(서포터데이터!$C$3:$AAY$52, ROW()-ROW(AF$4)+1, MATCH(AF$3, 서포터데이터!$C$1:$AAY$1, 0)+AF$1), 0)</f>
        <v>0</v>
      </c>
      <c r="AG11" s="25" cm="1">
        <f t="array" ref="AG11">IFERROR(INDEX(서포터데이터!$C$3:$AAY$52, ROW()-ROW(AG$4)+1, MATCH(AG$3, 서포터데이터!$C$1:$AAY$1, 0)+AG$1), 0)</f>
        <v>0</v>
      </c>
      <c r="AH11" s="61">
        <f t="shared" si="10"/>
        <v>0</v>
      </c>
      <c r="AI11" s="24" cm="1">
        <f t="array" ref="AI11">IFERROR(INDEX(딜러데이터!$C$3:$AAM$52, ROW()-ROW(AI$4)+1, MATCH(AI$3, 딜러데이터!$C$1:$AAM$1, 0)+AI$1), 0)</f>
        <v>0</v>
      </c>
      <c r="AJ11" s="24" cm="1">
        <f t="array" ref="AJ11">IFERROR(INDEX(서포터데이터!$C$3:$AAY$52, ROW()-ROW(AJ$4)+1, MATCH(AJ$3, 서포터데이터!$C$1:$AAY$1, 0)+AJ$1), 0)</f>
        <v>0</v>
      </c>
      <c r="AK11" s="24" cm="1">
        <f t="array" ref="AK11">IFERROR(INDEX(서포터데이터!$C$3:$AAY$52, ROW()-ROW(AK$4)+1, MATCH(AK$3, 서포터데이터!$C$1:$AAY$1, 0)+AK$1), 0)</f>
        <v>0</v>
      </c>
      <c r="AL11" s="24" cm="1">
        <f t="array" ref="AL11">IFERROR(INDEX(서포터데이터!$C$3:$AAY$52, ROW()-ROW(AL$4)+1, MATCH(AL$3, 서포터데이터!$C$1:$AAY$1, 0)+AL$1), 0)</f>
        <v>0</v>
      </c>
      <c r="AM11" s="25" cm="1">
        <f t="array" ref="AM11">IFERROR(INDEX(서포터데이터!$C$3:$AAY$52, ROW()-ROW(AM$4)+1, MATCH(AM$3, 서포터데이터!$C$1:$AAY$1, 0)+AM$1), 0)</f>
        <v>0</v>
      </c>
    </row>
    <row r="12" spans="1:39" x14ac:dyDescent="0.45">
      <c r="A12" s="267"/>
      <c r="B12" s="158" t="s">
        <v>262</v>
      </c>
      <c r="C12" s="22"/>
      <c r="D12" s="61">
        <f t="shared" si="6"/>
        <v>0</v>
      </c>
      <c r="E12" s="24" cm="1">
        <f t="array" ref="E12">IFERROR(INDEX(딜러데이터!$C$3:$AAM$52, ROW()-ROW(E$4)+1, MATCH(E$3, 딜러데이터!$C$1:$AAM$1, 0)+E$1), 0)</f>
        <v>0</v>
      </c>
      <c r="F12" s="24" cm="1">
        <f t="array" ref="F12">IFERROR(INDEX(서포터데이터!$C$3:$AAY$52, ROW()-ROW(F$4)+1, MATCH(F$3, 서포터데이터!$C$1:$AAY$1, 0)+F$1), 0)</f>
        <v>0</v>
      </c>
      <c r="G12" s="24" cm="1">
        <f t="array" ref="G12">IFERROR(INDEX(서포터데이터!$C$3:$AAY$52, ROW()-ROW(G$4)+1, MATCH(G$3, 서포터데이터!$C$1:$AAY$1, 0)+G$1), 0)</f>
        <v>0</v>
      </c>
      <c r="H12" s="24" cm="1">
        <f t="array" ref="H12">IFERROR(INDEX(서포터데이터!$C$3:$AAY$52, ROW()-ROW(H$4)+1, MATCH(H$3, 서포터데이터!$C$1:$AAY$1, 0)+H$1), 0)</f>
        <v>0</v>
      </c>
      <c r="I12" s="25" cm="1">
        <f t="array" ref="I12">IFERROR(INDEX(서포터데이터!$C$3:$AAY$52, ROW()-ROW(I$4)+1, MATCH(I$3, 서포터데이터!$C$1:$AAY$1, 0)+I$1), 0)</f>
        <v>0</v>
      </c>
      <c r="J12" s="61">
        <f t="shared" si="11"/>
        <v>0</v>
      </c>
      <c r="K12" s="24" cm="1">
        <f t="array" ref="K12">IFERROR(INDEX(딜러데이터!$C$3:$AAM$52, ROW()-ROW(K$4)+1, MATCH(K$3, 딜러데이터!$C$1:$AAM$1, 0)+K$1), 0)</f>
        <v>0</v>
      </c>
      <c r="L12" s="24" cm="1">
        <f t="array" ref="L12">IFERROR(INDEX(서포터데이터!$C$3:$AAY$52, ROW()-ROW(L$4)+1, MATCH(L$3, 서포터데이터!$C$1:$AAY$1, 0)+L$1), 0)</f>
        <v>0</v>
      </c>
      <c r="M12" s="24" cm="1">
        <f t="array" ref="M12">IFERROR(INDEX(서포터데이터!$C$3:$AAY$52, ROW()-ROW(M$4)+1, MATCH(M$3, 서포터데이터!$C$1:$AAY$1, 0)+M$1), 0)</f>
        <v>0</v>
      </c>
      <c r="N12" s="24" cm="1">
        <f t="array" ref="N12">IFERROR(INDEX(서포터데이터!$C$3:$AAY$52, ROW()-ROW(N$4)+1, MATCH(N$3, 서포터데이터!$C$1:$AAY$1, 0)+N$1), 0)</f>
        <v>0</v>
      </c>
      <c r="O12" s="25" cm="1">
        <f t="array" ref="O12">IFERROR(INDEX(서포터데이터!$C$3:$AAY$52, ROW()-ROW(O$4)+1, MATCH(O$3, 서포터데이터!$C$1:$AAY$1, 0)+O$1), 0)</f>
        <v>0</v>
      </c>
      <c r="P12" s="61">
        <f t="shared" si="7"/>
        <v>0</v>
      </c>
      <c r="Q12" s="24" cm="1">
        <f t="array" ref="Q12">IFERROR(INDEX(딜러데이터!$C$3:$AAM$52, ROW()-ROW(Q$4)+1, MATCH(Q$3, 딜러데이터!$C$1:$AAM$1, 0)+Q$1), 0)</f>
        <v>0</v>
      </c>
      <c r="R12" s="24" cm="1">
        <f t="array" ref="R12">IFERROR(INDEX(서포터데이터!$C$3:$AAY$52, ROW()-ROW(R$4)+1, MATCH(R$3, 서포터데이터!$C$1:$AAY$1, 0)+R$1), 0)</f>
        <v>0</v>
      </c>
      <c r="S12" s="24" cm="1">
        <f t="array" ref="S12">IFERROR(INDEX(서포터데이터!$C$3:$AAY$52, ROW()-ROW(S$4)+1, MATCH(S$3, 서포터데이터!$C$1:$AAY$1, 0)+S$1), 0)</f>
        <v>0</v>
      </c>
      <c r="T12" s="24" cm="1">
        <f t="array" ref="T12">IFERROR(INDEX(서포터데이터!$C$3:$AAY$52, ROW()-ROW(T$4)+1, MATCH(T$3, 서포터데이터!$C$1:$AAY$1, 0)+T$1), 0)</f>
        <v>0</v>
      </c>
      <c r="U12" s="25" cm="1">
        <f t="array" ref="U12">IFERROR(INDEX(서포터데이터!$C$3:$AAY$52, ROW()-ROW(U$4)+1, MATCH(U$3, 서포터데이터!$C$1:$AAY$1, 0)+U$1), 0)</f>
        <v>0</v>
      </c>
      <c r="V12" s="61">
        <f t="shared" si="8"/>
        <v>0</v>
      </c>
      <c r="W12" s="24" cm="1">
        <f t="array" ref="W12">IFERROR(INDEX(딜러데이터!$C$3:$AAM$52, ROW()-ROW(W$4)+1, MATCH(W$3, 딜러데이터!$C$1:$AAM$1, 0)+W$1), 0)</f>
        <v>0</v>
      </c>
      <c r="X12" s="24" cm="1">
        <f t="array" ref="X12">IFERROR(INDEX(서포터데이터!$C$3:$AAY$52, ROW()-ROW(X$4)+1, MATCH(X$3, 서포터데이터!$C$1:$AAY$1, 0)+X$1), 0)</f>
        <v>0</v>
      </c>
      <c r="Y12" s="24" cm="1">
        <f t="array" ref="Y12">IFERROR(INDEX(서포터데이터!$C$3:$AAY$52, ROW()-ROW(Y$4)+1, MATCH(Y$3, 서포터데이터!$C$1:$AAY$1, 0)+Y$1), 0)</f>
        <v>0</v>
      </c>
      <c r="Z12" s="24" cm="1">
        <f t="array" ref="Z12">IFERROR(INDEX(서포터데이터!$C$3:$AAY$52, ROW()-ROW(Z$4)+1, MATCH(Z$3, 서포터데이터!$C$1:$AAY$1, 0)+Z$1), 0)</f>
        <v>0</v>
      </c>
      <c r="AA12" s="25" cm="1">
        <f t="array" ref="AA12">IFERROR(INDEX(서포터데이터!$C$3:$AAY$52, ROW()-ROW(AA$4)+1, MATCH(AA$3, 서포터데이터!$C$1:$AAY$1, 0)+AA$1), 0)</f>
        <v>0</v>
      </c>
      <c r="AB12" s="61">
        <f t="shared" si="9"/>
        <v>0</v>
      </c>
      <c r="AC12" s="24" cm="1">
        <f t="array" ref="AC12">IFERROR(INDEX(딜러데이터!$C$3:$AAM$52, ROW()-ROW(AC$4)+1, MATCH(AC$3, 딜러데이터!$C$1:$AAM$1, 0)+AC$1), 0)</f>
        <v>0</v>
      </c>
      <c r="AD12" s="24" cm="1">
        <f t="array" ref="AD12">IFERROR(INDEX(서포터데이터!$C$3:$AAY$52, ROW()-ROW(AD$4)+1, MATCH(AD$3, 서포터데이터!$C$1:$AAY$1, 0)+AD$1), 0)</f>
        <v>0</v>
      </c>
      <c r="AE12" s="24" cm="1">
        <f t="array" ref="AE12">IFERROR(INDEX(서포터데이터!$C$3:$AAY$52, ROW()-ROW(AE$4)+1, MATCH(AE$3, 서포터데이터!$C$1:$AAY$1, 0)+AE$1), 0)</f>
        <v>0</v>
      </c>
      <c r="AF12" s="24" cm="1">
        <f t="array" ref="AF12">IFERROR(INDEX(서포터데이터!$C$3:$AAY$52, ROW()-ROW(AF$4)+1, MATCH(AF$3, 서포터데이터!$C$1:$AAY$1, 0)+AF$1), 0)</f>
        <v>0</v>
      </c>
      <c r="AG12" s="25" cm="1">
        <f t="array" ref="AG12">IFERROR(INDEX(서포터데이터!$C$3:$AAY$52, ROW()-ROW(AG$4)+1, MATCH(AG$3, 서포터데이터!$C$1:$AAY$1, 0)+AG$1), 0)</f>
        <v>0</v>
      </c>
      <c r="AH12" s="61">
        <f t="shared" si="10"/>
        <v>0</v>
      </c>
      <c r="AI12" s="24" cm="1">
        <f t="array" ref="AI12">IFERROR(INDEX(딜러데이터!$C$3:$AAM$52, ROW()-ROW(AI$4)+1, MATCH(AI$3, 딜러데이터!$C$1:$AAM$1, 0)+AI$1), 0)</f>
        <v>0</v>
      </c>
      <c r="AJ12" s="24" cm="1">
        <f t="array" ref="AJ12">IFERROR(INDEX(서포터데이터!$C$3:$AAY$52, ROW()-ROW(AJ$4)+1, MATCH(AJ$3, 서포터데이터!$C$1:$AAY$1, 0)+AJ$1), 0)</f>
        <v>0</v>
      </c>
      <c r="AK12" s="24" cm="1">
        <f t="array" ref="AK12">IFERROR(INDEX(서포터데이터!$C$3:$AAY$52, ROW()-ROW(AK$4)+1, MATCH(AK$3, 서포터데이터!$C$1:$AAY$1, 0)+AK$1), 0)</f>
        <v>0</v>
      </c>
      <c r="AL12" s="24" cm="1">
        <f t="array" ref="AL12">IFERROR(INDEX(서포터데이터!$C$3:$AAY$52, ROW()-ROW(AL$4)+1, MATCH(AL$3, 서포터데이터!$C$1:$AAY$1, 0)+AL$1), 0)</f>
        <v>0</v>
      </c>
      <c r="AM12" s="25" cm="1">
        <f t="array" ref="AM12">IFERROR(INDEX(서포터데이터!$C$3:$AAY$52, ROW()-ROW(AM$4)+1, MATCH(AM$3, 서포터데이터!$C$1:$AAY$1, 0)+AM$1), 0)</f>
        <v>0</v>
      </c>
    </row>
    <row r="13" spans="1:39" x14ac:dyDescent="0.45">
      <c r="A13" s="267"/>
      <c r="B13" s="158" t="s">
        <v>263</v>
      </c>
      <c r="C13" s="22"/>
      <c r="D13" s="61">
        <f t="shared" si="6"/>
        <v>0</v>
      </c>
      <c r="E13" s="24" cm="1">
        <f t="array" ref="E13">IFERROR(INDEX(딜러데이터!$C$3:$AAM$52, ROW()-ROW(E$4)+1, MATCH(E$3, 딜러데이터!$C$1:$AAM$1, 0)+E$1), 0)</f>
        <v>0</v>
      </c>
      <c r="F13" s="24" cm="1">
        <f t="array" ref="F13">IFERROR(INDEX(서포터데이터!$C$3:$AAY$52, ROW()-ROW(F$4)+1, MATCH(F$3, 서포터데이터!$C$1:$AAY$1, 0)+F$1), 0)</f>
        <v>0</v>
      </c>
      <c r="G13" s="24" cm="1">
        <f t="array" ref="G13">IFERROR(INDEX(서포터데이터!$C$3:$AAY$52, ROW()-ROW(G$4)+1, MATCH(G$3, 서포터데이터!$C$1:$AAY$1, 0)+G$1), 0)</f>
        <v>0</v>
      </c>
      <c r="H13" s="24" cm="1">
        <f t="array" ref="H13">IFERROR(INDEX(서포터데이터!$C$3:$AAY$52, ROW()-ROW(H$4)+1, MATCH(H$3, 서포터데이터!$C$1:$AAY$1, 0)+H$1), 0)</f>
        <v>0</v>
      </c>
      <c r="I13" s="25" cm="1">
        <f t="array" ref="I13">IFERROR(INDEX(서포터데이터!$C$3:$AAY$52, ROW()-ROW(I$4)+1, MATCH(I$3, 서포터데이터!$C$1:$AAY$1, 0)+I$1), 0)</f>
        <v>0</v>
      </c>
      <c r="J13" s="61">
        <f t="shared" si="11"/>
        <v>0.92030000000000001</v>
      </c>
      <c r="K13" s="24" cm="1">
        <f t="array" ref="K13">IFERROR(INDEX(딜러데이터!$C$3:$AAM$52, ROW()-ROW(K$4)+1, MATCH(K$3, 딜러데이터!$C$1:$AAM$1, 0)+K$1), 0)</f>
        <v>0</v>
      </c>
      <c r="L13" s="24" cm="1">
        <f t="array" ref="L13">IFERROR(INDEX(서포터데이터!$C$3:$AAY$52, ROW()-ROW(L$4)+1, MATCH(L$3, 서포터데이터!$C$1:$AAY$1, 0)+L$1), 0)</f>
        <v>0.92030000000000001</v>
      </c>
      <c r="M13" s="24" cm="1">
        <f t="array" ref="M13">IFERROR(INDEX(서포터데이터!$C$3:$AAY$52, ROW()-ROW(M$4)+1, MATCH(M$3, 서포터데이터!$C$1:$AAY$1, 0)+M$1), 0)</f>
        <v>0</v>
      </c>
      <c r="N13" s="24" cm="1">
        <f t="array" ref="N13">IFERROR(INDEX(서포터데이터!$C$3:$AAY$52, ROW()-ROW(N$4)+1, MATCH(N$3, 서포터데이터!$C$1:$AAY$1, 0)+N$1), 0)</f>
        <v>0</v>
      </c>
      <c r="O13" s="25" cm="1">
        <f t="array" ref="O13">IFERROR(INDEX(서포터데이터!$C$3:$AAY$52, ROW()-ROW(O$4)+1, MATCH(O$3, 서포터데이터!$C$1:$AAY$1, 0)+O$1), 0)</f>
        <v>0</v>
      </c>
      <c r="P13" s="61">
        <f t="shared" si="7"/>
        <v>0.92030000000000001</v>
      </c>
      <c r="Q13" s="24" cm="1">
        <f t="array" ref="Q13">IFERROR(INDEX(딜러데이터!$C$3:$AAM$52, ROW()-ROW(Q$4)+1, MATCH(Q$3, 딜러데이터!$C$1:$AAM$1, 0)+Q$1), 0)</f>
        <v>0</v>
      </c>
      <c r="R13" s="24" cm="1">
        <f t="array" ref="R13">IFERROR(INDEX(서포터데이터!$C$3:$AAY$52, ROW()-ROW(R$4)+1, MATCH(R$3, 서포터데이터!$C$1:$AAY$1, 0)+R$1), 0)</f>
        <v>0.92030000000000001</v>
      </c>
      <c r="S13" s="24" cm="1">
        <f t="array" ref="S13">IFERROR(INDEX(서포터데이터!$C$3:$AAY$52, ROW()-ROW(S$4)+1, MATCH(S$3, 서포터데이터!$C$1:$AAY$1, 0)+S$1), 0)</f>
        <v>0</v>
      </c>
      <c r="T13" s="24" cm="1">
        <f t="array" ref="T13">IFERROR(INDEX(서포터데이터!$C$3:$AAY$52, ROW()-ROW(T$4)+1, MATCH(T$3, 서포터데이터!$C$1:$AAY$1, 0)+T$1), 0)</f>
        <v>0</v>
      </c>
      <c r="U13" s="25" cm="1">
        <f t="array" ref="U13">IFERROR(INDEX(서포터데이터!$C$3:$AAY$52, ROW()-ROW(U$4)+1, MATCH(U$3, 서포터데이터!$C$1:$AAY$1, 0)+U$1), 0)</f>
        <v>0</v>
      </c>
      <c r="V13" s="61">
        <f t="shared" si="8"/>
        <v>0</v>
      </c>
      <c r="W13" s="24" cm="1">
        <f t="array" ref="W13">IFERROR(INDEX(딜러데이터!$C$3:$AAM$52, ROW()-ROW(W$4)+1, MATCH(W$3, 딜러데이터!$C$1:$AAM$1, 0)+W$1), 0)</f>
        <v>0</v>
      </c>
      <c r="X13" s="24" cm="1">
        <f t="array" ref="X13">IFERROR(INDEX(서포터데이터!$C$3:$AAY$52, ROW()-ROW(X$4)+1, MATCH(X$3, 서포터데이터!$C$1:$AAY$1, 0)+X$1), 0)</f>
        <v>0</v>
      </c>
      <c r="Y13" s="24" cm="1">
        <f t="array" ref="Y13">IFERROR(INDEX(서포터데이터!$C$3:$AAY$52, ROW()-ROW(Y$4)+1, MATCH(Y$3, 서포터데이터!$C$1:$AAY$1, 0)+Y$1), 0)</f>
        <v>0</v>
      </c>
      <c r="Z13" s="24" cm="1">
        <f t="array" ref="Z13">IFERROR(INDEX(서포터데이터!$C$3:$AAY$52, ROW()-ROW(Z$4)+1, MATCH(Z$3, 서포터데이터!$C$1:$AAY$1, 0)+Z$1), 0)</f>
        <v>0</v>
      </c>
      <c r="AA13" s="25" cm="1">
        <f t="array" ref="AA13">IFERROR(INDEX(서포터데이터!$C$3:$AAY$52, ROW()-ROW(AA$4)+1, MATCH(AA$3, 서포터데이터!$C$1:$AAY$1, 0)+AA$1), 0)</f>
        <v>0</v>
      </c>
      <c r="AB13" s="61">
        <f t="shared" si="9"/>
        <v>0.92030000000000001</v>
      </c>
      <c r="AC13" s="24" cm="1">
        <f t="array" ref="AC13">IFERROR(INDEX(딜러데이터!$C$3:$AAM$52, ROW()-ROW(AC$4)+1, MATCH(AC$3, 딜러데이터!$C$1:$AAM$1, 0)+AC$1), 0)</f>
        <v>0</v>
      </c>
      <c r="AD13" s="24" cm="1">
        <f t="array" ref="AD13">IFERROR(INDEX(서포터데이터!$C$3:$AAY$52, ROW()-ROW(AD$4)+1, MATCH(AD$3, 서포터데이터!$C$1:$AAY$1, 0)+AD$1), 0)</f>
        <v>0.92030000000000001</v>
      </c>
      <c r="AE13" s="24" cm="1">
        <f t="array" ref="AE13">IFERROR(INDEX(서포터데이터!$C$3:$AAY$52, ROW()-ROW(AE$4)+1, MATCH(AE$3, 서포터데이터!$C$1:$AAY$1, 0)+AE$1), 0)</f>
        <v>0</v>
      </c>
      <c r="AF13" s="24" cm="1">
        <f t="array" ref="AF13">IFERROR(INDEX(서포터데이터!$C$3:$AAY$52, ROW()-ROW(AF$4)+1, MATCH(AF$3, 서포터데이터!$C$1:$AAY$1, 0)+AF$1), 0)</f>
        <v>0</v>
      </c>
      <c r="AG13" s="25" cm="1">
        <f t="array" ref="AG13">IFERROR(INDEX(서포터데이터!$C$3:$AAY$52, ROW()-ROW(AG$4)+1, MATCH(AG$3, 서포터데이터!$C$1:$AAY$1, 0)+AG$1), 0)</f>
        <v>0</v>
      </c>
      <c r="AH13" s="61">
        <f t="shared" si="10"/>
        <v>0.92030000000000001</v>
      </c>
      <c r="AI13" s="24" cm="1">
        <f t="array" ref="AI13">IFERROR(INDEX(딜러데이터!$C$3:$AAM$52, ROW()-ROW(AI$4)+1, MATCH(AI$3, 딜러데이터!$C$1:$AAM$1, 0)+AI$1), 0)</f>
        <v>0</v>
      </c>
      <c r="AJ13" s="24" cm="1">
        <f t="array" ref="AJ13">IFERROR(INDEX(서포터데이터!$C$3:$AAY$52, ROW()-ROW(AJ$4)+1, MATCH(AJ$3, 서포터데이터!$C$1:$AAY$1, 0)+AJ$1), 0)</f>
        <v>0.92030000000000001</v>
      </c>
      <c r="AK13" s="24" cm="1">
        <f t="array" ref="AK13">IFERROR(INDEX(서포터데이터!$C$3:$AAY$52, ROW()-ROW(AK$4)+1, MATCH(AK$3, 서포터데이터!$C$1:$AAY$1, 0)+AK$1), 0)</f>
        <v>0</v>
      </c>
      <c r="AL13" s="24" cm="1">
        <f t="array" ref="AL13">IFERROR(INDEX(서포터데이터!$C$3:$AAY$52, ROW()-ROW(AL$4)+1, MATCH(AL$3, 서포터데이터!$C$1:$AAY$1, 0)+AL$1), 0)</f>
        <v>0</v>
      </c>
      <c r="AM13" s="25" cm="1">
        <f t="array" ref="AM13">IFERROR(INDEX(서포터데이터!$C$3:$AAY$52, ROW()-ROW(AM$4)+1, MATCH(AM$3, 서포터데이터!$C$1:$AAY$1, 0)+AM$1), 0)</f>
        <v>0</v>
      </c>
    </row>
    <row r="14" spans="1:39" x14ac:dyDescent="0.45">
      <c r="A14" s="267"/>
      <c r="B14" s="158" t="s">
        <v>264</v>
      </c>
      <c r="C14" s="22"/>
      <c r="D14" s="61">
        <f t="shared" si="6"/>
        <v>0</v>
      </c>
      <c r="E14" s="24" cm="1">
        <f t="array" ref="E14">IFERROR(INDEX(딜러데이터!$C$3:$AAM$52, ROW()-ROW(E$4)+1, MATCH(E$3, 딜러데이터!$C$1:$AAM$1, 0)+E$1), 0)</f>
        <v>0</v>
      </c>
      <c r="F14" s="24" cm="1">
        <f t="array" ref="F14">IFERROR(INDEX(서포터데이터!$C$3:$AAY$52, ROW()-ROW(F$4)+1, MATCH(F$3, 서포터데이터!$C$1:$AAY$1, 0)+F$1), 0)</f>
        <v>0</v>
      </c>
      <c r="G14" s="24" cm="1">
        <f t="array" ref="G14">IFERROR(INDEX(서포터데이터!$C$3:$AAY$52, ROW()-ROW(G$4)+1, MATCH(G$3, 서포터데이터!$C$1:$AAY$1, 0)+G$1), 0)</f>
        <v>0</v>
      </c>
      <c r="H14" s="24" cm="1">
        <f t="array" ref="H14">IFERROR(INDEX(서포터데이터!$C$3:$AAY$52, ROW()-ROW(H$4)+1, MATCH(H$3, 서포터데이터!$C$1:$AAY$1, 0)+H$1), 0)</f>
        <v>0</v>
      </c>
      <c r="I14" s="25" cm="1">
        <f t="array" ref="I14">IFERROR(INDEX(서포터데이터!$C$3:$AAY$52, ROW()-ROW(I$4)+1, MATCH(I$3, 서포터데이터!$C$1:$AAY$1, 0)+I$1), 0)</f>
        <v>0</v>
      </c>
      <c r="J14" s="61">
        <f t="shared" si="11"/>
        <v>0</v>
      </c>
      <c r="K14" s="24" cm="1">
        <f t="array" ref="K14">IFERROR(INDEX(딜러데이터!$C$3:$AAM$52, ROW()-ROW(K$4)+1, MATCH(K$3, 딜러데이터!$C$1:$AAM$1, 0)+K$1), 0)</f>
        <v>0</v>
      </c>
      <c r="L14" s="24" cm="1">
        <f t="array" ref="L14">IFERROR(INDEX(서포터데이터!$C$3:$AAY$52, ROW()-ROW(L$4)+1, MATCH(L$3, 서포터데이터!$C$1:$AAY$1, 0)+L$1), 0)</f>
        <v>0</v>
      </c>
      <c r="M14" s="24" cm="1">
        <f t="array" ref="M14">IFERROR(INDEX(서포터데이터!$C$3:$AAY$52, ROW()-ROW(M$4)+1, MATCH(M$3, 서포터데이터!$C$1:$AAY$1, 0)+M$1), 0)</f>
        <v>0</v>
      </c>
      <c r="N14" s="24" cm="1">
        <f t="array" ref="N14">IFERROR(INDEX(서포터데이터!$C$3:$AAY$52, ROW()-ROW(N$4)+1, MATCH(N$3, 서포터데이터!$C$1:$AAY$1, 0)+N$1), 0)</f>
        <v>0</v>
      </c>
      <c r="O14" s="25" cm="1">
        <f t="array" ref="O14">IFERROR(INDEX(서포터데이터!$C$3:$AAY$52, ROW()-ROW(O$4)+1, MATCH(O$3, 서포터데이터!$C$1:$AAY$1, 0)+O$1), 0)</f>
        <v>0</v>
      </c>
      <c r="P14" s="61">
        <f t="shared" si="7"/>
        <v>0</v>
      </c>
      <c r="Q14" s="24" cm="1">
        <f t="array" ref="Q14">IFERROR(INDEX(딜러데이터!$C$3:$AAM$52, ROW()-ROW(Q$4)+1, MATCH(Q$3, 딜러데이터!$C$1:$AAM$1, 0)+Q$1), 0)</f>
        <v>0</v>
      </c>
      <c r="R14" s="24" cm="1">
        <f t="array" ref="R14">IFERROR(INDEX(서포터데이터!$C$3:$AAY$52, ROW()-ROW(R$4)+1, MATCH(R$3, 서포터데이터!$C$1:$AAY$1, 0)+R$1), 0)</f>
        <v>0</v>
      </c>
      <c r="S14" s="24" cm="1">
        <f t="array" ref="S14">IFERROR(INDEX(서포터데이터!$C$3:$AAY$52, ROW()-ROW(S$4)+1, MATCH(S$3, 서포터데이터!$C$1:$AAY$1, 0)+S$1), 0)</f>
        <v>0</v>
      </c>
      <c r="T14" s="24" cm="1">
        <f t="array" ref="T14">IFERROR(INDEX(서포터데이터!$C$3:$AAY$52, ROW()-ROW(T$4)+1, MATCH(T$3, 서포터데이터!$C$1:$AAY$1, 0)+T$1), 0)</f>
        <v>0</v>
      </c>
      <c r="U14" s="25" cm="1">
        <f t="array" ref="U14">IFERROR(INDEX(서포터데이터!$C$3:$AAY$52, ROW()-ROW(U$4)+1, MATCH(U$3, 서포터데이터!$C$1:$AAY$1, 0)+U$1), 0)</f>
        <v>0</v>
      </c>
      <c r="V14" s="61">
        <f t="shared" si="8"/>
        <v>0</v>
      </c>
      <c r="W14" s="24" cm="1">
        <f t="array" ref="W14">IFERROR(INDEX(딜러데이터!$C$3:$AAM$52, ROW()-ROW(W$4)+1, MATCH(W$3, 딜러데이터!$C$1:$AAM$1, 0)+W$1), 0)</f>
        <v>0</v>
      </c>
      <c r="X14" s="24" cm="1">
        <f t="array" ref="X14">IFERROR(INDEX(서포터데이터!$C$3:$AAY$52, ROW()-ROW(X$4)+1, MATCH(X$3, 서포터데이터!$C$1:$AAY$1, 0)+X$1), 0)</f>
        <v>0</v>
      </c>
      <c r="Y14" s="24" cm="1">
        <f t="array" ref="Y14">IFERROR(INDEX(서포터데이터!$C$3:$AAY$52, ROW()-ROW(Y$4)+1, MATCH(Y$3, 서포터데이터!$C$1:$AAY$1, 0)+Y$1), 0)</f>
        <v>0</v>
      </c>
      <c r="Z14" s="24" cm="1">
        <f t="array" ref="Z14">IFERROR(INDEX(서포터데이터!$C$3:$AAY$52, ROW()-ROW(Z$4)+1, MATCH(Z$3, 서포터데이터!$C$1:$AAY$1, 0)+Z$1), 0)</f>
        <v>0</v>
      </c>
      <c r="AA14" s="25" cm="1">
        <f t="array" ref="AA14">IFERROR(INDEX(서포터데이터!$C$3:$AAY$52, ROW()-ROW(AA$4)+1, MATCH(AA$3, 서포터데이터!$C$1:$AAY$1, 0)+AA$1), 0)</f>
        <v>0</v>
      </c>
      <c r="AB14" s="61">
        <f t="shared" si="9"/>
        <v>0</v>
      </c>
      <c r="AC14" s="24" cm="1">
        <f t="array" ref="AC14">IFERROR(INDEX(딜러데이터!$C$3:$AAM$52, ROW()-ROW(AC$4)+1, MATCH(AC$3, 딜러데이터!$C$1:$AAM$1, 0)+AC$1), 0)</f>
        <v>0</v>
      </c>
      <c r="AD14" s="24" cm="1">
        <f t="array" ref="AD14">IFERROR(INDEX(서포터데이터!$C$3:$AAY$52, ROW()-ROW(AD$4)+1, MATCH(AD$3, 서포터데이터!$C$1:$AAY$1, 0)+AD$1), 0)</f>
        <v>0</v>
      </c>
      <c r="AE14" s="24" cm="1">
        <f t="array" ref="AE14">IFERROR(INDEX(서포터데이터!$C$3:$AAY$52, ROW()-ROW(AE$4)+1, MATCH(AE$3, 서포터데이터!$C$1:$AAY$1, 0)+AE$1), 0)</f>
        <v>0</v>
      </c>
      <c r="AF14" s="24" cm="1">
        <f t="array" ref="AF14">IFERROR(INDEX(서포터데이터!$C$3:$AAY$52, ROW()-ROW(AF$4)+1, MATCH(AF$3, 서포터데이터!$C$1:$AAY$1, 0)+AF$1), 0)</f>
        <v>0</v>
      </c>
      <c r="AG14" s="25" cm="1">
        <f t="array" ref="AG14">IFERROR(INDEX(서포터데이터!$C$3:$AAY$52, ROW()-ROW(AG$4)+1, MATCH(AG$3, 서포터데이터!$C$1:$AAY$1, 0)+AG$1), 0)</f>
        <v>0</v>
      </c>
      <c r="AH14" s="61">
        <f t="shared" si="10"/>
        <v>0</v>
      </c>
      <c r="AI14" s="24" cm="1">
        <f t="array" ref="AI14">IFERROR(INDEX(딜러데이터!$C$3:$AAM$52, ROW()-ROW(AI$4)+1, MATCH(AI$3, 딜러데이터!$C$1:$AAM$1, 0)+AI$1), 0)</f>
        <v>0</v>
      </c>
      <c r="AJ14" s="24" cm="1">
        <f t="array" ref="AJ14">IFERROR(INDEX(서포터데이터!$C$3:$AAY$52, ROW()-ROW(AJ$4)+1, MATCH(AJ$3, 서포터데이터!$C$1:$AAY$1, 0)+AJ$1), 0)</f>
        <v>0</v>
      </c>
      <c r="AK14" s="24" cm="1">
        <f t="array" ref="AK14">IFERROR(INDEX(서포터데이터!$C$3:$AAY$52, ROW()-ROW(AK$4)+1, MATCH(AK$3, 서포터데이터!$C$1:$AAY$1, 0)+AK$1), 0)</f>
        <v>0</v>
      </c>
      <c r="AL14" s="24" cm="1">
        <f t="array" ref="AL14">IFERROR(INDEX(서포터데이터!$C$3:$AAY$52, ROW()-ROW(AL$4)+1, MATCH(AL$3, 서포터데이터!$C$1:$AAY$1, 0)+AL$1), 0)</f>
        <v>0</v>
      </c>
      <c r="AM14" s="25" cm="1">
        <f t="array" ref="AM14">IFERROR(INDEX(서포터데이터!$C$3:$AAY$52, ROW()-ROW(AM$4)+1, MATCH(AM$3, 서포터데이터!$C$1:$AAY$1, 0)+AM$1), 0)</f>
        <v>0</v>
      </c>
    </row>
    <row r="15" spans="1:39" x14ac:dyDescent="0.45">
      <c r="A15" s="267"/>
      <c r="B15" s="158" t="s">
        <v>265</v>
      </c>
      <c r="C15" s="22"/>
      <c r="D15" s="61">
        <f t="shared" si="6"/>
        <v>0</v>
      </c>
      <c r="E15" s="24" cm="1">
        <f t="array" ref="E15">IFERROR(INDEX(딜러데이터!$C$3:$AAM$52, ROW()-ROW(E$4)+1, MATCH(E$3, 딜러데이터!$C$1:$AAM$1, 0)+E$1), 0)</f>
        <v>0</v>
      </c>
      <c r="F15" s="24" cm="1">
        <f t="array" ref="F15">IFERROR(INDEX(서포터데이터!$C$3:$AAY$52, ROW()-ROW(F$4)+1, MATCH(F$3, 서포터데이터!$C$1:$AAY$1, 0)+F$1), 0)</f>
        <v>0</v>
      </c>
      <c r="G15" s="24" cm="1">
        <f t="array" ref="G15">IFERROR(INDEX(서포터데이터!$C$3:$AAY$52, ROW()-ROW(G$4)+1, MATCH(G$3, 서포터데이터!$C$1:$AAY$1, 0)+G$1), 0)</f>
        <v>0</v>
      </c>
      <c r="H15" s="24" cm="1">
        <f t="array" ref="H15">IFERROR(INDEX(서포터데이터!$C$3:$AAY$52, ROW()-ROW(H$4)+1, MATCH(H$3, 서포터데이터!$C$1:$AAY$1, 0)+H$1), 0)</f>
        <v>0</v>
      </c>
      <c r="I15" s="25" cm="1">
        <f t="array" ref="I15">IFERROR(INDEX(서포터데이터!$C$3:$AAY$52, ROW()-ROW(I$4)+1, MATCH(I$3, 서포터데이터!$C$1:$AAY$1, 0)+I$1), 0)</f>
        <v>0</v>
      </c>
      <c r="J15" s="61">
        <f t="shared" si="11"/>
        <v>0</v>
      </c>
      <c r="K15" s="24" cm="1">
        <f t="array" ref="K15">IFERROR(INDEX(딜러데이터!$C$3:$AAM$52, ROW()-ROW(K$4)+1, MATCH(K$3, 딜러데이터!$C$1:$AAM$1, 0)+K$1), 0)</f>
        <v>0</v>
      </c>
      <c r="L15" s="24" cm="1">
        <f t="array" ref="L15">IFERROR(INDEX(서포터데이터!$C$3:$AAY$52, ROW()-ROW(L$4)+1, MATCH(L$3, 서포터데이터!$C$1:$AAY$1, 0)+L$1), 0)</f>
        <v>0</v>
      </c>
      <c r="M15" s="24" cm="1">
        <f t="array" ref="M15">IFERROR(INDEX(서포터데이터!$C$3:$AAY$52, ROW()-ROW(M$4)+1, MATCH(M$3, 서포터데이터!$C$1:$AAY$1, 0)+M$1), 0)</f>
        <v>0</v>
      </c>
      <c r="N15" s="24" cm="1">
        <f t="array" ref="N15">IFERROR(INDEX(서포터데이터!$C$3:$AAY$52, ROW()-ROW(N$4)+1, MATCH(N$3, 서포터데이터!$C$1:$AAY$1, 0)+N$1), 0)</f>
        <v>0</v>
      </c>
      <c r="O15" s="25" cm="1">
        <f t="array" ref="O15">IFERROR(INDEX(서포터데이터!$C$3:$AAY$52, ROW()-ROW(O$4)+1, MATCH(O$3, 서포터데이터!$C$1:$AAY$1, 0)+O$1), 0)</f>
        <v>0</v>
      </c>
      <c r="P15" s="61">
        <f t="shared" si="7"/>
        <v>0</v>
      </c>
      <c r="Q15" s="24" cm="1">
        <f t="array" ref="Q15">IFERROR(INDEX(딜러데이터!$C$3:$AAM$52, ROW()-ROW(Q$4)+1, MATCH(Q$3, 딜러데이터!$C$1:$AAM$1, 0)+Q$1), 0)</f>
        <v>0</v>
      </c>
      <c r="R15" s="24" cm="1">
        <f t="array" ref="R15">IFERROR(INDEX(서포터데이터!$C$3:$AAY$52, ROW()-ROW(R$4)+1, MATCH(R$3, 서포터데이터!$C$1:$AAY$1, 0)+R$1), 0)</f>
        <v>0</v>
      </c>
      <c r="S15" s="24" cm="1">
        <f t="array" ref="S15">IFERROR(INDEX(서포터데이터!$C$3:$AAY$52, ROW()-ROW(S$4)+1, MATCH(S$3, 서포터데이터!$C$1:$AAY$1, 0)+S$1), 0)</f>
        <v>0</v>
      </c>
      <c r="T15" s="24" cm="1">
        <f t="array" ref="T15">IFERROR(INDEX(서포터데이터!$C$3:$AAY$52, ROW()-ROW(T$4)+1, MATCH(T$3, 서포터데이터!$C$1:$AAY$1, 0)+T$1), 0)</f>
        <v>0</v>
      </c>
      <c r="U15" s="25" cm="1">
        <f t="array" ref="U15">IFERROR(INDEX(서포터데이터!$C$3:$AAY$52, ROW()-ROW(U$4)+1, MATCH(U$3, 서포터데이터!$C$1:$AAY$1, 0)+U$1), 0)</f>
        <v>0</v>
      </c>
      <c r="V15" s="61">
        <f t="shared" si="8"/>
        <v>0</v>
      </c>
      <c r="W15" s="24" cm="1">
        <f t="array" ref="W15">IFERROR(INDEX(딜러데이터!$C$3:$AAM$52, ROW()-ROW(W$4)+1, MATCH(W$3, 딜러데이터!$C$1:$AAM$1, 0)+W$1), 0)</f>
        <v>0</v>
      </c>
      <c r="X15" s="24" cm="1">
        <f t="array" ref="X15">IFERROR(INDEX(서포터데이터!$C$3:$AAY$52, ROW()-ROW(X$4)+1, MATCH(X$3, 서포터데이터!$C$1:$AAY$1, 0)+X$1), 0)</f>
        <v>0</v>
      </c>
      <c r="Y15" s="24" cm="1">
        <f t="array" ref="Y15">IFERROR(INDEX(서포터데이터!$C$3:$AAY$52, ROW()-ROW(Y$4)+1, MATCH(Y$3, 서포터데이터!$C$1:$AAY$1, 0)+Y$1), 0)</f>
        <v>0</v>
      </c>
      <c r="Z15" s="24" cm="1">
        <f t="array" ref="Z15">IFERROR(INDEX(서포터데이터!$C$3:$AAY$52, ROW()-ROW(Z$4)+1, MATCH(Z$3, 서포터데이터!$C$1:$AAY$1, 0)+Z$1), 0)</f>
        <v>0</v>
      </c>
      <c r="AA15" s="25" cm="1">
        <f t="array" ref="AA15">IFERROR(INDEX(서포터데이터!$C$3:$AAY$52, ROW()-ROW(AA$4)+1, MATCH(AA$3, 서포터데이터!$C$1:$AAY$1, 0)+AA$1), 0)</f>
        <v>0</v>
      </c>
      <c r="AB15" s="61">
        <f t="shared" si="9"/>
        <v>0</v>
      </c>
      <c r="AC15" s="24" cm="1">
        <f t="array" ref="AC15">IFERROR(INDEX(딜러데이터!$C$3:$AAM$52, ROW()-ROW(AC$4)+1, MATCH(AC$3, 딜러데이터!$C$1:$AAM$1, 0)+AC$1), 0)</f>
        <v>0</v>
      </c>
      <c r="AD15" s="24" cm="1">
        <f t="array" ref="AD15">IFERROR(INDEX(서포터데이터!$C$3:$AAY$52, ROW()-ROW(AD$4)+1, MATCH(AD$3, 서포터데이터!$C$1:$AAY$1, 0)+AD$1), 0)</f>
        <v>0</v>
      </c>
      <c r="AE15" s="24" cm="1">
        <f t="array" ref="AE15">IFERROR(INDEX(서포터데이터!$C$3:$AAY$52, ROW()-ROW(AE$4)+1, MATCH(AE$3, 서포터데이터!$C$1:$AAY$1, 0)+AE$1), 0)</f>
        <v>0</v>
      </c>
      <c r="AF15" s="24" cm="1">
        <f t="array" ref="AF15">IFERROR(INDEX(서포터데이터!$C$3:$AAY$52, ROW()-ROW(AF$4)+1, MATCH(AF$3, 서포터데이터!$C$1:$AAY$1, 0)+AF$1), 0)</f>
        <v>0</v>
      </c>
      <c r="AG15" s="25" cm="1">
        <f t="array" ref="AG15">IFERROR(INDEX(서포터데이터!$C$3:$AAY$52, ROW()-ROW(AG$4)+1, MATCH(AG$3, 서포터데이터!$C$1:$AAY$1, 0)+AG$1), 0)</f>
        <v>0</v>
      </c>
      <c r="AH15" s="61">
        <f t="shared" si="10"/>
        <v>0</v>
      </c>
      <c r="AI15" s="24" cm="1">
        <f t="array" ref="AI15">IFERROR(INDEX(딜러데이터!$C$3:$AAM$52, ROW()-ROW(AI$4)+1, MATCH(AI$3, 딜러데이터!$C$1:$AAM$1, 0)+AI$1), 0)</f>
        <v>0</v>
      </c>
      <c r="AJ15" s="24" cm="1">
        <f t="array" ref="AJ15">IFERROR(INDEX(서포터데이터!$C$3:$AAY$52, ROW()-ROW(AJ$4)+1, MATCH(AJ$3, 서포터데이터!$C$1:$AAY$1, 0)+AJ$1), 0)</f>
        <v>0</v>
      </c>
      <c r="AK15" s="24" cm="1">
        <f t="array" ref="AK15">IFERROR(INDEX(서포터데이터!$C$3:$AAY$52, ROW()-ROW(AK$4)+1, MATCH(AK$3, 서포터데이터!$C$1:$AAY$1, 0)+AK$1), 0)</f>
        <v>0</v>
      </c>
      <c r="AL15" s="24" cm="1">
        <f t="array" ref="AL15">IFERROR(INDEX(서포터데이터!$C$3:$AAY$52, ROW()-ROW(AL$4)+1, MATCH(AL$3, 서포터데이터!$C$1:$AAY$1, 0)+AL$1), 0)</f>
        <v>0</v>
      </c>
      <c r="AM15" s="25" cm="1">
        <f t="array" ref="AM15">IFERROR(INDEX(서포터데이터!$C$3:$AAY$52, ROW()-ROW(AM$4)+1, MATCH(AM$3, 서포터데이터!$C$1:$AAY$1, 0)+AM$1), 0)</f>
        <v>0</v>
      </c>
    </row>
    <row r="16" spans="1:39" x14ac:dyDescent="0.45">
      <c r="A16" s="267"/>
      <c r="B16" s="17" t="s">
        <v>266</v>
      </c>
      <c r="C16" s="22"/>
      <c r="D16" s="61">
        <f t="shared" si="6"/>
        <v>0</v>
      </c>
      <c r="E16" s="24" cm="1">
        <f t="array" ref="E16">IFERROR(INDEX(딜러데이터!$C$3:$AAM$52, ROW()-ROW(E$4)+1, MATCH(E$3, 딜러데이터!$C$1:$AAM$1, 0)+E$1), 0)</f>
        <v>0</v>
      </c>
      <c r="F16" s="24" cm="1">
        <f t="array" ref="F16">IFERROR(INDEX(서포터데이터!$C$3:$AAY$52, ROW()-ROW(F$4)+1, MATCH(F$3, 서포터데이터!$C$1:$AAY$1, 0)+F$1), 0)</f>
        <v>0</v>
      </c>
      <c r="G16" s="24" cm="1">
        <f t="array" ref="G16">IFERROR(INDEX(서포터데이터!$C$3:$AAY$52, ROW()-ROW(G$4)+1, MATCH(G$3, 서포터데이터!$C$1:$AAY$1, 0)+G$1), 0)</f>
        <v>0</v>
      </c>
      <c r="H16" s="24" cm="1">
        <f t="array" ref="H16">IFERROR(INDEX(서포터데이터!$C$3:$AAY$52, ROW()-ROW(H$4)+1, MATCH(H$3, 서포터데이터!$C$1:$AAY$1, 0)+H$1), 0)</f>
        <v>0</v>
      </c>
      <c r="I16" s="25" cm="1">
        <f t="array" ref="I16">IFERROR(INDEX(서포터데이터!$C$3:$AAY$52, ROW()-ROW(I$4)+1, MATCH(I$3, 서포터데이터!$C$1:$AAY$1, 0)+I$1), 0)</f>
        <v>0</v>
      </c>
      <c r="J16" s="61">
        <f t="shared" si="11"/>
        <v>0</v>
      </c>
      <c r="K16" s="24" cm="1">
        <f t="array" ref="K16">IFERROR(INDEX(딜러데이터!$C$3:$AAM$52, ROW()-ROW(K$4)+1, MATCH(K$3, 딜러데이터!$C$1:$AAM$1, 0)+K$1), 0)</f>
        <v>0</v>
      </c>
      <c r="L16" s="24" cm="1">
        <f t="array" ref="L16">IFERROR(INDEX(서포터데이터!$C$3:$AAY$52, ROW()-ROW(L$4)+1, MATCH(L$3, 서포터데이터!$C$1:$AAY$1, 0)+L$1), 0)</f>
        <v>0</v>
      </c>
      <c r="M16" s="24" cm="1">
        <f t="array" ref="M16">IFERROR(INDEX(서포터데이터!$C$3:$AAY$52, ROW()-ROW(M$4)+1, MATCH(M$3, 서포터데이터!$C$1:$AAY$1, 0)+M$1), 0)</f>
        <v>0</v>
      </c>
      <c r="N16" s="24" cm="1">
        <f t="array" ref="N16">IFERROR(INDEX(서포터데이터!$C$3:$AAY$52, ROW()-ROW(N$4)+1, MATCH(N$3, 서포터데이터!$C$1:$AAY$1, 0)+N$1), 0)</f>
        <v>0</v>
      </c>
      <c r="O16" s="25" cm="1">
        <f t="array" ref="O16">IFERROR(INDEX(서포터데이터!$C$3:$AAY$52, ROW()-ROW(O$4)+1, MATCH(O$3, 서포터데이터!$C$1:$AAY$1, 0)+O$1), 0)</f>
        <v>0</v>
      </c>
      <c r="P16" s="61">
        <f t="shared" si="7"/>
        <v>0</v>
      </c>
      <c r="Q16" s="24" cm="1">
        <f t="array" ref="Q16">IFERROR(INDEX(딜러데이터!$C$3:$AAM$52, ROW()-ROW(Q$4)+1, MATCH(Q$3, 딜러데이터!$C$1:$AAM$1, 0)+Q$1), 0)</f>
        <v>0</v>
      </c>
      <c r="R16" s="24" cm="1">
        <f t="array" ref="R16">IFERROR(INDEX(서포터데이터!$C$3:$AAY$52, ROW()-ROW(R$4)+1, MATCH(R$3, 서포터데이터!$C$1:$AAY$1, 0)+R$1), 0)</f>
        <v>0</v>
      </c>
      <c r="S16" s="24" cm="1">
        <f t="array" ref="S16">IFERROR(INDEX(서포터데이터!$C$3:$AAY$52, ROW()-ROW(S$4)+1, MATCH(S$3, 서포터데이터!$C$1:$AAY$1, 0)+S$1), 0)</f>
        <v>0</v>
      </c>
      <c r="T16" s="24" cm="1">
        <f t="array" ref="T16">IFERROR(INDEX(서포터데이터!$C$3:$AAY$52, ROW()-ROW(T$4)+1, MATCH(T$3, 서포터데이터!$C$1:$AAY$1, 0)+T$1), 0)</f>
        <v>0</v>
      </c>
      <c r="U16" s="25" cm="1">
        <f t="array" ref="U16">IFERROR(INDEX(서포터데이터!$C$3:$AAY$52, ROW()-ROW(U$4)+1, MATCH(U$3, 서포터데이터!$C$1:$AAY$1, 0)+U$1), 0)</f>
        <v>0</v>
      </c>
      <c r="V16" s="61">
        <f t="shared" si="8"/>
        <v>0</v>
      </c>
      <c r="W16" s="24" cm="1">
        <f t="array" ref="W16">IFERROR(INDEX(딜러데이터!$C$3:$AAM$52, ROW()-ROW(W$4)+1, MATCH(W$3, 딜러데이터!$C$1:$AAM$1, 0)+W$1), 0)</f>
        <v>0</v>
      </c>
      <c r="X16" s="24" cm="1">
        <f t="array" ref="X16">IFERROR(INDEX(서포터데이터!$C$3:$AAY$52, ROW()-ROW(X$4)+1, MATCH(X$3, 서포터데이터!$C$1:$AAY$1, 0)+X$1), 0)</f>
        <v>0</v>
      </c>
      <c r="Y16" s="24" cm="1">
        <f t="array" ref="Y16">IFERROR(INDEX(서포터데이터!$C$3:$AAY$52, ROW()-ROW(Y$4)+1, MATCH(Y$3, 서포터데이터!$C$1:$AAY$1, 0)+Y$1), 0)</f>
        <v>0</v>
      </c>
      <c r="Z16" s="24" cm="1">
        <f t="array" ref="Z16">IFERROR(INDEX(서포터데이터!$C$3:$AAY$52, ROW()-ROW(Z$4)+1, MATCH(Z$3, 서포터데이터!$C$1:$AAY$1, 0)+Z$1), 0)</f>
        <v>0</v>
      </c>
      <c r="AA16" s="25" cm="1">
        <f t="array" ref="AA16">IFERROR(INDEX(서포터데이터!$C$3:$AAY$52, ROW()-ROW(AA$4)+1, MATCH(AA$3, 서포터데이터!$C$1:$AAY$1, 0)+AA$1), 0)</f>
        <v>0</v>
      </c>
      <c r="AB16" s="61">
        <f t="shared" si="9"/>
        <v>0</v>
      </c>
      <c r="AC16" s="24" cm="1">
        <f t="array" ref="AC16">IFERROR(INDEX(딜러데이터!$C$3:$AAM$52, ROW()-ROW(AC$4)+1, MATCH(AC$3, 딜러데이터!$C$1:$AAM$1, 0)+AC$1), 0)</f>
        <v>0</v>
      </c>
      <c r="AD16" s="24" cm="1">
        <f t="array" ref="AD16">IFERROR(INDEX(서포터데이터!$C$3:$AAY$52, ROW()-ROW(AD$4)+1, MATCH(AD$3, 서포터데이터!$C$1:$AAY$1, 0)+AD$1), 0)</f>
        <v>0</v>
      </c>
      <c r="AE16" s="24" cm="1">
        <f t="array" ref="AE16">IFERROR(INDEX(서포터데이터!$C$3:$AAY$52, ROW()-ROW(AE$4)+1, MATCH(AE$3, 서포터데이터!$C$1:$AAY$1, 0)+AE$1), 0)</f>
        <v>0</v>
      </c>
      <c r="AF16" s="24" cm="1">
        <f t="array" ref="AF16">IFERROR(INDEX(서포터데이터!$C$3:$AAY$52, ROW()-ROW(AF$4)+1, MATCH(AF$3, 서포터데이터!$C$1:$AAY$1, 0)+AF$1), 0)</f>
        <v>0</v>
      </c>
      <c r="AG16" s="25" cm="1">
        <f t="array" ref="AG16">IFERROR(INDEX(서포터데이터!$C$3:$AAY$52, ROW()-ROW(AG$4)+1, MATCH(AG$3, 서포터데이터!$C$1:$AAY$1, 0)+AG$1), 0)</f>
        <v>0</v>
      </c>
      <c r="AH16" s="61">
        <f t="shared" si="10"/>
        <v>0</v>
      </c>
      <c r="AI16" s="24" cm="1">
        <f t="array" ref="AI16">IFERROR(INDEX(딜러데이터!$C$3:$AAM$52, ROW()-ROW(AI$4)+1, MATCH(AI$3, 딜러데이터!$C$1:$AAM$1, 0)+AI$1), 0)</f>
        <v>0</v>
      </c>
      <c r="AJ16" s="24" cm="1">
        <f t="array" ref="AJ16">IFERROR(INDEX(서포터데이터!$C$3:$AAY$52, ROW()-ROW(AJ$4)+1, MATCH(AJ$3, 서포터데이터!$C$1:$AAY$1, 0)+AJ$1), 0)</f>
        <v>0</v>
      </c>
      <c r="AK16" s="24" cm="1">
        <f t="array" ref="AK16">IFERROR(INDEX(서포터데이터!$C$3:$AAY$52, ROW()-ROW(AK$4)+1, MATCH(AK$3, 서포터데이터!$C$1:$AAY$1, 0)+AK$1), 0)</f>
        <v>0</v>
      </c>
      <c r="AL16" s="24" cm="1">
        <f t="array" ref="AL16">IFERROR(INDEX(서포터데이터!$C$3:$AAY$52, ROW()-ROW(AL$4)+1, MATCH(AL$3, 서포터데이터!$C$1:$AAY$1, 0)+AL$1), 0)</f>
        <v>0</v>
      </c>
      <c r="AM16" s="25" cm="1">
        <f t="array" ref="AM16">IFERROR(INDEX(서포터데이터!$C$3:$AAY$52, ROW()-ROW(AM$4)+1, MATCH(AM$3, 서포터데이터!$C$1:$AAY$1, 0)+AM$1), 0)</f>
        <v>0</v>
      </c>
    </row>
    <row r="17" spans="1:39" x14ac:dyDescent="0.45">
      <c r="A17" s="267"/>
      <c r="B17" s="15" t="s">
        <v>267</v>
      </c>
      <c r="C17" s="22"/>
      <c r="D17" s="61">
        <f t="shared" si="6"/>
        <v>0</v>
      </c>
      <c r="E17" s="24" cm="1">
        <f t="array" ref="E17">IFERROR(INDEX(딜러데이터!$C$3:$AAM$52, ROW()-ROW(E$4)+1, MATCH(E$3, 딜러데이터!$C$1:$AAM$1, 0)+E$1), 0)</f>
        <v>0</v>
      </c>
      <c r="F17" s="24" cm="1">
        <f t="array" ref="F17">IFERROR(INDEX(서포터데이터!$C$3:$AAY$52, ROW()-ROW(F$4)+1, MATCH(F$3, 서포터데이터!$C$1:$AAY$1, 0)+F$1), 0)</f>
        <v>0</v>
      </c>
      <c r="G17" s="24" cm="1">
        <f t="array" ref="G17">IFERROR(INDEX(서포터데이터!$C$3:$AAY$52, ROW()-ROW(G$4)+1, MATCH(G$3, 서포터데이터!$C$1:$AAY$1, 0)+G$1), 0)</f>
        <v>0</v>
      </c>
      <c r="H17" s="24" cm="1">
        <f t="array" ref="H17">IFERROR(INDEX(서포터데이터!$C$3:$AAY$52, ROW()-ROW(H$4)+1, MATCH(H$3, 서포터데이터!$C$1:$AAY$1, 0)+H$1), 0)</f>
        <v>0</v>
      </c>
      <c r="I17" s="25" cm="1">
        <f t="array" ref="I17">IFERROR(INDEX(서포터데이터!$C$3:$AAY$52, ROW()-ROW(I$4)+1, MATCH(I$3, 서포터데이터!$C$1:$AAY$1, 0)+I$1), 0)</f>
        <v>0</v>
      </c>
      <c r="J17" s="61">
        <f t="shared" si="11"/>
        <v>0</v>
      </c>
      <c r="K17" s="24" cm="1">
        <f t="array" ref="K17">IFERROR(INDEX(딜러데이터!$C$3:$AAM$52, ROW()-ROW(K$4)+1, MATCH(K$3, 딜러데이터!$C$1:$AAM$1, 0)+K$1), 0)</f>
        <v>0</v>
      </c>
      <c r="L17" s="24" cm="1">
        <f t="array" ref="L17">IFERROR(INDEX(서포터데이터!$C$3:$AAY$52, ROW()-ROW(L$4)+1, MATCH(L$3, 서포터데이터!$C$1:$AAY$1, 0)+L$1), 0)</f>
        <v>0</v>
      </c>
      <c r="M17" s="24" cm="1">
        <f t="array" ref="M17">IFERROR(INDEX(서포터데이터!$C$3:$AAY$52, ROW()-ROW(M$4)+1, MATCH(M$3, 서포터데이터!$C$1:$AAY$1, 0)+M$1), 0)</f>
        <v>0</v>
      </c>
      <c r="N17" s="24" cm="1">
        <f t="array" ref="N17">IFERROR(INDEX(서포터데이터!$C$3:$AAY$52, ROW()-ROW(N$4)+1, MATCH(N$3, 서포터데이터!$C$1:$AAY$1, 0)+N$1), 0)</f>
        <v>0</v>
      </c>
      <c r="O17" s="25" cm="1">
        <f t="array" ref="O17">IFERROR(INDEX(서포터데이터!$C$3:$AAY$52, ROW()-ROW(O$4)+1, MATCH(O$3, 서포터데이터!$C$1:$AAY$1, 0)+O$1), 0)</f>
        <v>0</v>
      </c>
      <c r="P17" s="61">
        <f t="shared" si="7"/>
        <v>0</v>
      </c>
      <c r="Q17" s="24" cm="1">
        <f t="array" ref="Q17">IFERROR(INDEX(딜러데이터!$C$3:$AAM$52, ROW()-ROW(Q$4)+1, MATCH(Q$3, 딜러데이터!$C$1:$AAM$1, 0)+Q$1), 0)</f>
        <v>0</v>
      </c>
      <c r="R17" s="24" cm="1">
        <f t="array" ref="R17">IFERROR(INDEX(서포터데이터!$C$3:$AAY$52, ROW()-ROW(R$4)+1, MATCH(R$3, 서포터데이터!$C$1:$AAY$1, 0)+R$1), 0)</f>
        <v>0</v>
      </c>
      <c r="S17" s="24" cm="1">
        <f t="array" ref="S17">IFERROR(INDEX(서포터데이터!$C$3:$AAY$52, ROW()-ROW(S$4)+1, MATCH(S$3, 서포터데이터!$C$1:$AAY$1, 0)+S$1), 0)</f>
        <v>0</v>
      </c>
      <c r="T17" s="24" cm="1">
        <f t="array" ref="T17">IFERROR(INDEX(서포터데이터!$C$3:$AAY$52, ROW()-ROW(T$4)+1, MATCH(T$3, 서포터데이터!$C$1:$AAY$1, 0)+T$1), 0)</f>
        <v>0</v>
      </c>
      <c r="U17" s="25" cm="1">
        <f t="array" ref="U17">IFERROR(INDEX(서포터데이터!$C$3:$AAY$52, ROW()-ROW(U$4)+1, MATCH(U$3, 서포터데이터!$C$1:$AAY$1, 0)+U$1), 0)</f>
        <v>0</v>
      </c>
      <c r="V17" s="61">
        <f t="shared" si="8"/>
        <v>0</v>
      </c>
      <c r="W17" s="24" cm="1">
        <f t="array" ref="W17">IFERROR(INDEX(딜러데이터!$C$3:$AAM$52, ROW()-ROW(W$4)+1, MATCH(W$3, 딜러데이터!$C$1:$AAM$1, 0)+W$1), 0)</f>
        <v>0</v>
      </c>
      <c r="X17" s="24" cm="1">
        <f t="array" ref="X17">IFERROR(INDEX(서포터데이터!$C$3:$AAY$52, ROW()-ROW(X$4)+1, MATCH(X$3, 서포터데이터!$C$1:$AAY$1, 0)+X$1), 0)</f>
        <v>0</v>
      </c>
      <c r="Y17" s="24" cm="1">
        <f t="array" ref="Y17">IFERROR(INDEX(서포터데이터!$C$3:$AAY$52, ROW()-ROW(Y$4)+1, MATCH(Y$3, 서포터데이터!$C$1:$AAY$1, 0)+Y$1), 0)</f>
        <v>0</v>
      </c>
      <c r="Z17" s="24" cm="1">
        <f t="array" ref="Z17">IFERROR(INDEX(서포터데이터!$C$3:$AAY$52, ROW()-ROW(Z$4)+1, MATCH(Z$3, 서포터데이터!$C$1:$AAY$1, 0)+Z$1), 0)</f>
        <v>0</v>
      </c>
      <c r="AA17" s="25" cm="1">
        <f t="array" ref="AA17">IFERROR(INDEX(서포터데이터!$C$3:$AAY$52, ROW()-ROW(AA$4)+1, MATCH(AA$3, 서포터데이터!$C$1:$AAY$1, 0)+AA$1), 0)</f>
        <v>0</v>
      </c>
      <c r="AB17" s="61">
        <f t="shared" si="9"/>
        <v>0</v>
      </c>
      <c r="AC17" s="24" cm="1">
        <f t="array" ref="AC17">IFERROR(INDEX(딜러데이터!$C$3:$AAM$52, ROW()-ROW(AC$4)+1, MATCH(AC$3, 딜러데이터!$C$1:$AAM$1, 0)+AC$1), 0)</f>
        <v>0</v>
      </c>
      <c r="AD17" s="24" cm="1">
        <f t="array" ref="AD17">IFERROR(INDEX(서포터데이터!$C$3:$AAY$52, ROW()-ROW(AD$4)+1, MATCH(AD$3, 서포터데이터!$C$1:$AAY$1, 0)+AD$1), 0)</f>
        <v>0</v>
      </c>
      <c r="AE17" s="24" cm="1">
        <f t="array" ref="AE17">IFERROR(INDEX(서포터데이터!$C$3:$AAY$52, ROW()-ROW(AE$4)+1, MATCH(AE$3, 서포터데이터!$C$1:$AAY$1, 0)+AE$1), 0)</f>
        <v>0</v>
      </c>
      <c r="AF17" s="24" cm="1">
        <f t="array" ref="AF17">IFERROR(INDEX(서포터데이터!$C$3:$AAY$52, ROW()-ROW(AF$4)+1, MATCH(AF$3, 서포터데이터!$C$1:$AAY$1, 0)+AF$1), 0)</f>
        <v>0</v>
      </c>
      <c r="AG17" s="25" cm="1">
        <f t="array" ref="AG17">IFERROR(INDEX(서포터데이터!$C$3:$AAY$52, ROW()-ROW(AG$4)+1, MATCH(AG$3, 서포터데이터!$C$1:$AAY$1, 0)+AG$1), 0)</f>
        <v>0</v>
      </c>
      <c r="AH17" s="61">
        <f t="shared" si="10"/>
        <v>0</v>
      </c>
      <c r="AI17" s="24" cm="1">
        <f t="array" ref="AI17">IFERROR(INDEX(딜러데이터!$C$3:$AAM$52, ROW()-ROW(AI$4)+1, MATCH(AI$3, 딜러데이터!$C$1:$AAM$1, 0)+AI$1), 0)</f>
        <v>0</v>
      </c>
      <c r="AJ17" s="24" cm="1">
        <f t="array" ref="AJ17">IFERROR(INDEX(서포터데이터!$C$3:$AAY$52, ROW()-ROW(AJ$4)+1, MATCH(AJ$3, 서포터데이터!$C$1:$AAY$1, 0)+AJ$1), 0)</f>
        <v>0</v>
      </c>
      <c r="AK17" s="24" cm="1">
        <f t="array" ref="AK17">IFERROR(INDEX(서포터데이터!$C$3:$AAY$52, ROW()-ROW(AK$4)+1, MATCH(AK$3, 서포터데이터!$C$1:$AAY$1, 0)+AK$1), 0)</f>
        <v>0</v>
      </c>
      <c r="AL17" s="24" cm="1">
        <f t="array" ref="AL17">IFERROR(INDEX(서포터데이터!$C$3:$AAY$52, ROW()-ROW(AL$4)+1, MATCH(AL$3, 서포터데이터!$C$1:$AAY$1, 0)+AL$1), 0)</f>
        <v>0</v>
      </c>
      <c r="AM17" s="25" cm="1">
        <f t="array" ref="AM17">IFERROR(INDEX(서포터데이터!$C$3:$AAY$52, ROW()-ROW(AM$4)+1, MATCH(AM$3, 서포터데이터!$C$1:$AAY$1, 0)+AM$1), 0)</f>
        <v>0</v>
      </c>
    </row>
    <row r="18" spans="1:39" x14ac:dyDescent="0.45">
      <c r="A18" s="267"/>
      <c r="B18" s="15" t="s">
        <v>268</v>
      </c>
      <c r="C18" s="22"/>
      <c r="D18" s="61">
        <f t="shared" si="6"/>
        <v>0</v>
      </c>
      <c r="E18" s="24" cm="1">
        <f t="array" ref="E18">IFERROR(INDEX(딜러데이터!$C$3:$AAM$52, ROW()-ROW(E$4)+1, MATCH(E$3, 딜러데이터!$C$1:$AAM$1, 0)+E$1), 0)</f>
        <v>0</v>
      </c>
      <c r="F18" s="24" cm="1">
        <f t="array" ref="F18">IFERROR(INDEX(서포터데이터!$C$3:$AAY$52, ROW()-ROW(F$4)+1, MATCH(F$3, 서포터데이터!$C$1:$AAY$1, 0)+F$1), 0)</f>
        <v>0</v>
      </c>
      <c r="G18" s="24" cm="1">
        <f t="array" ref="G18">IFERROR(INDEX(서포터데이터!$C$3:$AAY$52, ROW()-ROW(G$4)+1, MATCH(G$3, 서포터데이터!$C$1:$AAY$1, 0)+G$1), 0)</f>
        <v>0</v>
      </c>
      <c r="H18" s="24" cm="1">
        <f t="array" ref="H18">IFERROR(INDEX(서포터데이터!$C$3:$AAY$52, ROW()-ROW(H$4)+1, MATCH(H$3, 서포터데이터!$C$1:$AAY$1, 0)+H$1), 0)</f>
        <v>0</v>
      </c>
      <c r="I18" s="25" cm="1">
        <f t="array" ref="I18">IFERROR(INDEX(서포터데이터!$C$3:$AAY$52, ROW()-ROW(I$4)+1, MATCH(I$3, 서포터데이터!$C$1:$AAY$1, 0)+I$1), 0)</f>
        <v>0</v>
      </c>
      <c r="J18" s="61">
        <f t="shared" si="11"/>
        <v>0</v>
      </c>
      <c r="K18" s="24" cm="1">
        <f t="array" ref="K18">IFERROR(INDEX(딜러데이터!$C$3:$AAM$52, ROW()-ROW(K$4)+1, MATCH(K$3, 딜러데이터!$C$1:$AAM$1, 0)+K$1), 0)</f>
        <v>0</v>
      </c>
      <c r="L18" s="24" cm="1">
        <f t="array" ref="L18">IFERROR(INDEX(서포터데이터!$C$3:$AAY$52, ROW()-ROW(L$4)+1, MATCH(L$3, 서포터데이터!$C$1:$AAY$1, 0)+L$1), 0)</f>
        <v>0</v>
      </c>
      <c r="M18" s="24" cm="1">
        <f t="array" ref="M18">IFERROR(INDEX(서포터데이터!$C$3:$AAY$52, ROW()-ROW(M$4)+1, MATCH(M$3, 서포터데이터!$C$1:$AAY$1, 0)+M$1), 0)</f>
        <v>0</v>
      </c>
      <c r="N18" s="24" cm="1">
        <f t="array" ref="N18">IFERROR(INDEX(서포터데이터!$C$3:$AAY$52, ROW()-ROW(N$4)+1, MATCH(N$3, 서포터데이터!$C$1:$AAY$1, 0)+N$1), 0)</f>
        <v>0</v>
      </c>
      <c r="O18" s="25" cm="1">
        <f t="array" ref="O18">IFERROR(INDEX(서포터데이터!$C$3:$AAY$52, ROW()-ROW(O$4)+1, MATCH(O$3, 서포터데이터!$C$1:$AAY$1, 0)+O$1), 0)</f>
        <v>0</v>
      </c>
      <c r="P18" s="61">
        <f t="shared" si="7"/>
        <v>0</v>
      </c>
      <c r="Q18" s="24" cm="1">
        <f t="array" ref="Q18">IFERROR(INDEX(딜러데이터!$C$3:$AAM$52, ROW()-ROW(Q$4)+1, MATCH(Q$3, 딜러데이터!$C$1:$AAM$1, 0)+Q$1), 0)</f>
        <v>0</v>
      </c>
      <c r="R18" s="24" cm="1">
        <f t="array" ref="R18">IFERROR(INDEX(서포터데이터!$C$3:$AAY$52, ROW()-ROW(R$4)+1, MATCH(R$3, 서포터데이터!$C$1:$AAY$1, 0)+R$1), 0)</f>
        <v>0</v>
      </c>
      <c r="S18" s="24" cm="1">
        <f t="array" ref="S18">IFERROR(INDEX(서포터데이터!$C$3:$AAY$52, ROW()-ROW(S$4)+1, MATCH(S$3, 서포터데이터!$C$1:$AAY$1, 0)+S$1), 0)</f>
        <v>0</v>
      </c>
      <c r="T18" s="24" cm="1">
        <f t="array" ref="T18">IFERROR(INDEX(서포터데이터!$C$3:$AAY$52, ROW()-ROW(T$4)+1, MATCH(T$3, 서포터데이터!$C$1:$AAY$1, 0)+T$1), 0)</f>
        <v>0</v>
      </c>
      <c r="U18" s="25" cm="1">
        <f t="array" ref="U18">IFERROR(INDEX(서포터데이터!$C$3:$AAY$52, ROW()-ROW(U$4)+1, MATCH(U$3, 서포터데이터!$C$1:$AAY$1, 0)+U$1), 0)</f>
        <v>0</v>
      </c>
      <c r="V18" s="61">
        <f t="shared" si="8"/>
        <v>0</v>
      </c>
      <c r="W18" s="24" cm="1">
        <f t="array" ref="W18">IFERROR(INDEX(딜러데이터!$C$3:$AAM$52, ROW()-ROW(W$4)+1, MATCH(W$3, 딜러데이터!$C$1:$AAM$1, 0)+W$1), 0)</f>
        <v>0</v>
      </c>
      <c r="X18" s="24" cm="1">
        <f t="array" ref="X18">IFERROR(INDEX(서포터데이터!$C$3:$AAY$52, ROW()-ROW(X$4)+1, MATCH(X$3, 서포터데이터!$C$1:$AAY$1, 0)+X$1), 0)</f>
        <v>0</v>
      </c>
      <c r="Y18" s="24" cm="1">
        <f t="array" ref="Y18">IFERROR(INDEX(서포터데이터!$C$3:$AAY$52, ROW()-ROW(Y$4)+1, MATCH(Y$3, 서포터데이터!$C$1:$AAY$1, 0)+Y$1), 0)</f>
        <v>0</v>
      </c>
      <c r="Z18" s="24" cm="1">
        <f t="array" ref="Z18">IFERROR(INDEX(서포터데이터!$C$3:$AAY$52, ROW()-ROW(Z$4)+1, MATCH(Z$3, 서포터데이터!$C$1:$AAY$1, 0)+Z$1), 0)</f>
        <v>0</v>
      </c>
      <c r="AA18" s="25" cm="1">
        <f t="array" ref="AA18">IFERROR(INDEX(서포터데이터!$C$3:$AAY$52, ROW()-ROW(AA$4)+1, MATCH(AA$3, 서포터데이터!$C$1:$AAY$1, 0)+AA$1), 0)</f>
        <v>0</v>
      </c>
      <c r="AB18" s="61">
        <f t="shared" si="9"/>
        <v>0</v>
      </c>
      <c r="AC18" s="24" cm="1">
        <f t="array" ref="AC18">IFERROR(INDEX(딜러데이터!$C$3:$AAM$52, ROW()-ROW(AC$4)+1, MATCH(AC$3, 딜러데이터!$C$1:$AAM$1, 0)+AC$1), 0)</f>
        <v>0</v>
      </c>
      <c r="AD18" s="24" cm="1">
        <f t="array" ref="AD18">IFERROR(INDEX(서포터데이터!$C$3:$AAY$52, ROW()-ROW(AD$4)+1, MATCH(AD$3, 서포터데이터!$C$1:$AAY$1, 0)+AD$1), 0)</f>
        <v>0</v>
      </c>
      <c r="AE18" s="24" cm="1">
        <f t="array" ref="AE18">IFERROR(INDEX(서포터데이터!$C$3:$AAY$52, ROW()-ROW(AE$4)+1, MATCH(AE$3, 서포터데이터!$C$1:$AAY$1, 0)+AE$1), 0)</f>
        <v>0</v>
      </c>
      <c r="AF18" s="24" cm="1">
        <f t="array" ref="AF18">IFERROR(INDEX(서포터데이터!$C$3:$AAY$52, ROW()-ROW(AF$4)+1, MATCH(AF$3, 서포터데이터!$C$1:$AAY$1, 0)+AF$1), 0)</f>
        <v>0</v>
      </c>
      <c r="AG18" s="25" cm="1">
        <f t="array" ref="AG18">IFERROR(INDEX(서포터데이터!$C$3:$AAY$52, ROW()-ROW(AG$4)+1, MATCH(AG$3, 서포터데이터!$C$1:$AAY$1, 0)+AG$1), 0)</f>
        <v>0</v>
      </c>
      <c r="AH18" s="61">
        <f t="shared" si="10"/>
        <v>0</v>
      </c>
      <c r="AI18" s="24" cm="1">
        <f t="array" ref="AI18">IFERROR(INDEX(딜러데이터!$C$3:$AAM$52, ROW()-ROW(AI$4)+1, MATCH(AI$3, 딜러데이터!$C$1:$AAM$1, 0)+AI$1), 0)</f>
        <v>0</v>
      </c>
      <c r="AJ18" s="24" cm="1">
        <f t="array" ref="AJ18">IFERROR(INDEX(서포터데이터!$C$3:$AAY$52, ROW()-ROW(AJ$4)+1, MATCH(AJ$3, 서포터데이터!$C$1:$AAY$1, 0)+AJ$1), 0)</f>
        <v>0</v>
      </c>
      <c r="AK18" s="24" cm="1">
        <f t="array" ref="AK18">IFERROR(INDEX(서포터데이터!$C$3:$AAY$52, ROW()-ROW(AK$4)+1, MATCH(AK$3, 서포터데이터!$C$1:$AAY$1, 0)+AK$1), 0)</f>
        <v>0</v>
      </c>
      <c r="AL18" s="24" cm="1">
        <f t="array" ref="AL18">IFERROR(INDEX(서포터데이터!$C$3:$AAY$52, ROW()-ROW(AL$4)+1, MATCH(AL$3, 서포터데이터!$C$1:$AAY$1, 0)+AL$1), 0)</f>
        <v>0</v>
      </c>
      <c r="AM18" s="25" cm="1">
        <f t="array" ref="AM18">IFERROR(INDEX(서포터데이터!$C$3:$AAY$52, ROW()-ROW(AM$4)+1, MATCH(AM$3, 서포터데이터!$C$1:$AAY$1, 0)+AM$1), 0)</f>
        <v>0</v>
      </c>
    </row>
    <row r="19" spans="1:39" x14ac:dyDescent="0.45">
      <c r="A19" s="267"/>
      <c r="B19" s="17" t="s">
        <v>269</v>
      </c>
      <c r="C19" s="22"/>
      <c r="D19" s="61">
        <f t="shared" si="6"/>
        <v>0.45090000000000002</v>
      </c>
      <c r="E19" s="24" cm="1">
        <f t="array" ref="E19">IFERROR(INDEX(딜러데이터!$C$3:$AAM$52, ROW()-ROW(E$4)+1, MATCH(E$3, 딜러데이터!$C$1:$AAM$1, 0)+E$1), 0)</f>
        <v>0</v>
      </c>
      <c r="F19" s="24" cm="1">
        <f t="array" ref="F19">IFERROR(INDEX(서포터데이터!$C$3:$AAY$52, ROW()-ROW(F$4)+1, MATCH(F$3, 서포터데이터!$C$1:$AAY$1, 0)+F$1), 0)</f>
        <v>0</v>
      </c>
      <c r="G19" s="24" cm="1">
        <f t="array" ref="G19">IFERROR(INDEX(서포터데이터!$C$3:$AAY$52, ROW()-ROW(G$4)+1, MATCH(G$3, 서포터데이터!$C$1:$AAY$1, 0)+G$1), 0)</f>
        <v>0.45090000000000002</v>
      </c>
      <c r="H19" s="24" cm="1">
        <f t="array" ref="H19">IFERROR(INDEX(서포터데이터!$C$3:$AAY$52, ROW()-ROW(H$4)+1, MATCH(H$3, 서포터데이터!$C$1:$AAY$1, 0)+H$1), 0)</f>
        <v>0</v>
      </c>
      <c r="I19" s="25" cm="1">
        <f t="array" ref="I19">IFERROR(INDEX(서포터데이터!$C$3:$AAY$52, ROW()-ROW(I$4)+1, MATCH(I$3, 서포터데이터!$C$1:$AAY$1, 0)+I$1), 0)</f>
        <v>0</v>
      </c>
      <c r="J19" s="61">
        <f t="shared" si="11"/>
        <v>0.75490000000000002</v>
      </c>
      <c r="K19" s="24" cm="1">
        <f t="array" ref="K19">IFERROR(INDEX(딜러데이터!$C$3:$AAM$52, ROW()-ROW(K$4)+1, MATCH(K$3, 딜러데이터!$C$1:$AAM$1, 0)+K$1), 0)</f>
        <v>0</v>
      </c>
      <c r="L19" s="24" cm="1">
        <f t="array" ref="L19">IFERROR(INDEX(서포터데이터!$C$3:$AAY$52, ROW()-ROW(L$4)+1, MATCH(L$3, 서포터데이터!$C$1:$AAY$1, 0)+L$1), 0)</f>
        <v>0</v>
      </c>
      <c r="M19" s="24" cm="1">
        <f t="array" ref="M19">IFERROR(INDEX(서포터데이터!$C$3:$AAY$52, ROW()-ROW(M$4)+1, MATCH(M$3, 서포터데이터!$C$1:$AAY$1, 0)+M$1), 0)</f>
        <v>0.45090000000000002</v>
      </c>
      <c r="N19" s="24" cm="1">
        <f t="array" ref="N19">IFERROR(INDEX(서포터데이터!$C$3:$AAY$52, ROW()-ROW(N$4)+1, MATCH(N$3, 서포터데이터!$C$1:$AAY$1, 0)+N$1), 0)</f>
        <v>0.30399999999999999</v>
      </c>
      <c r="O19" s="25" cm="1">
        <f t="array" ref="O19">IFERROR(INDEX(서포터데이터!$C$3:$AAY$52, ROW()-ROW(O$4)+1, MATCH(O$3, 서포터데이터!$C$1:$AAY$1, 0)+O$1), 0)</f>
        <v>0</v>
      </c>
      <c r="P19" s="61">
        <f t="shared" si="7"/>
        <v>0.75490000000000002</v>
      </c>
      <c r="Q19" s="24" cm="1">
        <f t="array" ref="Q19">IFERROR(INDEX(딜러데이터!$C$3:$AAM$52, ROW()-ROW(Q$4)+1, MATCH(Q$3, 딜러데이터!$C$1:$AAM$1, 0)+Q$1), 0)</f>
        <v>0</v>
      </c>
      <c r="R19" s="24" cm="1">
        <f t="array" ref="R19">IFERROR(INDEX(서포터데이터!$C$3:$AAY$52, ROW()-ROW(R$4)+1, MATCH(R$3, 서포터데이터!$C$1:$AAY$1, 0)+R$1), 0)</f>
        <v>0</v>
      </c>
      <c r="S19" s="24" cm="1">
        <f t="array" ref="S19">IFERROR(INDEX(서포터데이터!$C$3:$AAY$52, ROW()-ROW(S$4)+1, MATCH(S$3, 서포터데이터!$C$1:$AAY$1, 0)+S$1), 0)</f>
        <v>0.45090000000000002</v>
      </c>
      <c r="T19" s="24" cm="1">
        <f t="array" ref="T19">IFERROR(INDEX(서포터데이터!$C$3:$AAY$52, ROW()-ROW(T$4)+1, MATCH(T$3, 서포터데이터!$C$1:$AAY$1, 0)+T$1), 0)</f>
        <v>0.30399999999999999</v>
      </c>
      <c r="U19" s="25" cm="1">
        <f t="array" ref="U19">IFERROR(INDEX(서포터데이터!$C$3:$AAY$52, ROW()-ROW(U$4)+1, MATCH(U$3, 서포터데이터!$C$1:$AAY$1, 0)+U$1), 0)</f>
        <v>0</v>
      </c>
      <c r="V19" s="61">
        <f t="shared" si="8"/>
        <v>0</v>
      </c>
      <c r="W19" s="24" cm="1">
        <f t="array" ref="W19">IFERROR(INDEX(딜러데이터!$C$3:$AAM$52, ROW()-ROW(W$4)+1, MATCH(W$3, 딜러데이터!$C$1:$AAM$1, 0)+W$1), 0)</f>
        <v>0</v>
      </c>
      <c r="X19" s="24" cm="1">
        <f t="array" ref="X19">IFERROR(INDEX(서포터데이터!$C$3:$AAY$52, ROW()-ROW(X$4)+1, MATCH(X$3, 서포터데이터!$C$1:$AAY$1, 0)+X$1), 0)</f>
        <v>0</v>
      </c>
      <c r="Y19" s="24" cm="1">
        <f t="array" ref="Y19">IFERROR(INDEX(서포터데이터!$C$3:$AAY$52, ROW()-ROW(Y$4)+1, MATCH(Y$3, 서포터데이터!$C$1:$AAY$1, 0)+Y$1), 0)</f>
        <v>0</v>
      </c>
      <c r="Z19" s="24" cm="1">
        <f t="array" ref="Z19">IFERROR(INDEX(서포터데이터!$C$3:$AAY$52, ROW()-ROW(Z$4)+1, MATCH(Z$3, 서포터데이터!$C$1:$AAY$1, 0)+Z$1), 0)</f>
        <v>0</v>
      </c>
      <c r="AA19" s="25" cm="1">
        <f t="array" ref="AA19">IFERROR(INDEX(서포터데이터!$C$3:$AAY$52, ROW()-ROW(AA$4)+1, MATCH(AA$3, 서포터데이터!$C$1:$AAY$1, 0)+AA$1), 0)</f>
        <v>0</v>
      </c>
      <c r="AB19" s="61">
        <f t="shared" si="9"/>
        <v>0.75490000000000002</v>
      </c>
      <c r="AC19" s="24" cm="1">
        <f t="array" ref="AC19">IFERROR(INDEX(딜러데이터!$C$3:$AAM$52, ROW()-ROW(AC$4)+1, MATCH(AC$3, 딜러데이터!$C$1:$AAM$1, 0)+AC$1), 0)</f>
        <v>0</v>
      </c>
      <c r="AD19" s="24" cm="1">
        <f t="array" ref="AD19">IFERROR(INDEX(서포터데이터!$C$3:$AAY$52, ROW()-ROW(AD$4)+1, MATCH(AD$3, 서포터데이터!$C$1:$AAY$1, 0)+AD$1), 0)</f>
        <v>0</v>
      </c>
      <c r="AE19" s="24" cm="1">
        <f t="array" ref="AE19">IFERROR(INDEX(서포터데이터!$C$3:$AAY$52, ROW()-ROW(AE$4)+1, MATCH(AE$3, 서포터데이터!$C$1:$AAY$1, 0)+AE$1), 0)</f>
        <v>0.45090000000000002</v>
      </c>
      <c r="AF19" s="24" cm="1">
        <f t="array" ref="AF19">IFERROR(INDEX(서포터데이터!$C$3:$AAY$52, ROW()-ROW(AF$4)+1, MATCH(AF$3, 서포터데이터!$C$1:$AAY$1, 0)+AF$1), 0)</f>
        <v>0.30399999999999999</v>
      </c>
      <c r="AG19" s="25" cm="1">
        <f t="array" ref="AG19">IFERROR(INDEX(서포터데이터!$C$3:$AAY$52, ROW()-ROW(AG$4)+1, MATCH(AG$3, 서포터데이터!$C$1:$AAY$1, 0)+AG$1), 0)</f>
        <v>0</v>
      </c>
      <c r="AH19" s="61">
        <f t="shared" si="10"/>
        <v>0.75490000000000002</v>
      </c>
      <c r="AI19" s="24" cm="1">
        <f t="array" ref="AI19">IFERROR(INDEX(딜러데이터!$C$3:$AAM$52, ROW()-ROW(AI$4)+1, MATCH(AI$3, 딜러데이터!$C$1:$AAM$1, 0)+AI$1), 0)</f>
        <v>0</v>
      </c>
      <c r="AJ19" s="24" cm="1">
        <f t="array" ref="AJ19">IFERROR(INDEX(서포터데이터!$C$3:$AAY$52, ROW()-ROW(AJ$4)+1, MATCH(AJ$3, 서포터데이터!$C$1:$AAY$1, 0)+AJ$1), 0)</f>
        <v>0</v>
      </c>
      <c r="AK19" s="24" cm="1">
        <f t="array" ref="AK19">IFERROR(INDEX(서포터데이터!$C$3:$AAY$52, ROW()-ROW(AK$4)+1, MATCH(AK$3, 서포터데이터!$C$1:$AAY$1, 0)+AK$1), 0)</f>
        <v>0.45090000000000002</v>
      </c>
      <c r="AL19" s="24" cm="1">
        <f t="array" ref="AL19">IFERROR(INDEX(서포터데이터!$C$3:$AAY$52, ROW()-ROW(AL$4)+1, MATCH(AL$3, 서포터데이터!$C$1:$AAY$1, 0)+AL$1), 0)</f>
        <v>0.30399999999999999</v>
      </c>
      <c r="AM19" s="25" cm="1">
        <f t="array" ref="AM19">IFERROR(INDEX(서포터데이터!$C$3:$AAY$52, ROW()-ROW(AM$4)+1, MATCH(AM$3, 서포터데이터!$C$1:$AAY$1, 0)+AM$1), 0)</f>
        <v>0</v>
      </c>
    </row>
    <row r="20" spans="1:39" x14ac:dyDescent="0.45">
      <c r="A20" s="241" t="s">
        <v>270</v>
      </c>
      <c r="B20" s="21" t="s">
        <v>271</v>
      </c>
      <c r="C20" s="22"/>
      <c r="D20" s="61">
        <f t="shared" si="6"/>
        <v>0</v>
      </c>
      <c r="E20" s="24" cm="1">
        <f t="array" ref="E20">IFERROR(INDEX(딜러데이터!$C$3:$AAM$52, ROW()-ROW(E$4)+1, MATCH(E$3, 딜러데이터!$C$1:$AAM$1, 0)+E$1), 0)</f>
        <v>0</v>
      </c>
      <c r="F20" s="24" cm="1">
        <f t="array" ref="F20">IFERROR(INDEX(서포터데이터!$C$3:$AAY$52, ROW()-ROW(F$4)+1, MATCH(F$3, 서포터데이터!$C$1:$AAY$1, 0)+F$1), 0)</f>
        <v>0</v>
      </c>
      <c r="G20" s="24" cm="1">
        <f t="array" ref="G20">IFERROR(INDEX(서포터데이터!$C$3:$AAY$52, ROW()-ROW(G$4)+1, MATCH(G$3, 서포터데이터!$C$1:$AAY$1, 0)+G$1), 0)</f>
        <v>0</v>
      </c>
      <c r="H20" s="24" cm="1">
        <f t="array" ref="H20">IFERROR(INDEX(서포터데이터!$C$3:$AAY$52, ROW()-ROW(H$4)+1, MATCH(H$3, 서포터데이터!$C$1:$AAY$1, 0)+H$1), 0)</f>
        <v>0</v>
      </c>
      <c r="I20" s="25" cm="1">
        <f t="array" ref="I20">IFERROR(INDEX(서포터데이터!$C$3:$AAY$52, ROW()-ROW(I$4)+1, MATCH(I$3, 서포터데이터!$C$1:$AAY$1, 0)+I$1), 0)</f>
        <v>0</v>
      </c>
      <c r="J20" s="61">
        <f t="shared" si="11"/>
        <v>0</v>
      </c>
      <c r="K20" s="24" cm="1">
        <f t="array" ref="K20">IFERROR(INDEX(딜러데이터!$C$3:$AAM$52, ROW()-ROW(K$4)+1, MATCH(K$3, 딜러데이터!$C$1:$AAM$1, 0)+K$1), 0)</f>
        <v>0</v>
      </c>
      <c r="L20" s="24" cm="1">
        <f t="array" ref="L20">IFERROR(INDEX(서포터데이터!$C$3:$AAY$52, ROW()-ROW(L$4)+1, MATCH(L$3, 서포터데이터!$C$1:$AAY$1, 0)+L$1), 0)</f>
        <v>0</v>
      </c>
      <c r="M20" s="24" cm="1">
        <f t="array" ref="M20">IFERROR(INDEX(서포터데이터!$C$3:$AAY$52, ROW()-ROW(M$4)+1, MATCH(M$3, 서포터데이터!$C$1:$AAY$1, 0)+M$1), 0)</f>
        <v>0</v>
      </c>
      <c r="N20" s="24" cm="1">
        <f t="array" ref="N20">IFERROR(INDEX(서포터데이터!$C$3:$AAY$52, ROW()-ROW(N$4)+1, MATCH(N$3, 서포터데이터!$C$1:$AAY$1, 0)+N$1), 0)</f>
        <v>0</v>
      </c>
      <c r="O20" s="25" cm="1">
        <f t="array" ref="O20">IFERROR(INDEX(서포터데이터!$C$3:$AAY$52, ROW()-ROW(O$4)+1, MATCH(O$3, 서포터데이터!$C$1:$AAY$1, 0)+O$1), 0)</f>
        <v>0</v>
      </c>
      <c r="P20" s="61">
        <f t="shared" si="7"/>
        <v>0</v>
      </c>
      <c r="Q20" s="24" cm="1">
        <f t="array" ref="Q20">IFERROR(INDEX(딜러데이터!$C$3:$AAM$52, ROW()-ROW(Q$4)+1, MATCH(Q$3, 딜러데이터!$C$1:$AAM$1, 0)+Q$1), 0)</f>
        <v>0</v>
      </c>
      <c r="R20" s="24" cm="1">
        <f t="array" ref="R20">IFERROR(INDEX(서포터데이터!$C$3:$AAY$52, ROW()-ROW(R$4)+1, MATCH(R$3, 서포터데이터!$C$1:$AAY$1, 0)+R$1), 0)</f>
        <v>0</v>
      </c>
      <c r="S20" s="24" cm="1">
        <f t="array" ref="S20">IFERROR(INDEX(서포터데이터!$C$3:$AAY$52, ROW()-ROW(S$4)+1, MATCH(S$3, 서포터데이터!$C$1:$AAY$1, 0)+S$1), 0)</f>
        <v>0</v>
      </c>
      <c r="T20" s="24" cm="1">
        <f t="array" ref="T20">IFERROR(INDEX(서포터데이터!$C$3:$AAY$52, ROW()-ROW(T$4)+1, MATCH(T$3, 서포터데이터!$C$1:$AAY$1, 0)+T$1), 0)</f>
        <v>0</v>
      </c>
      <c r="U20" s="25" cm="1">
        <f t="array" ref="U20">IFERROR(INDEX(서포터데이터!$C$3:$AAY$52, ROW()-ROW(U$4)+1, MATCH(U$3, 서포터데이터!$C$1:$AAY$1, 0)+U$1), 0)</f>
        <v>0</v>
      </c>
      <c r="V20" s="61">
        <f t="shared" si="8"/>
        <v>0</v>
      </c>
      <c r="W20" s="24" cm="1">
        <f t="array" ref="W20">IFERROR(INDEX(딜러데이터!$C$3:$AAM$52, ROW()-ROW(W$4)+1, MATCH(W$3, 딜러데이터!$C$1:$AAM$1, 0)+W$1), 0)</f>
        <v>0</v>
      </c>
      <c r="X20" s="24" cm="1">
        <f t="array" ref="X20">IFERROR(INDEX(서포터데이터!$C$3:$AAY$52, ROW()-ROW(X$4)+1, MATCH(X$3, 서포터데이터!$C$1:$AAY$1, 0)+X$1), 0)</f>
        <v>0</v>
      </c>
      <c r="Y20" s="24" cm="1">
        <f t="array" ref="Y20">IFERROR(INDEX(서포터데이터!$C$3:$AAY$52, ROW()-ROW(Y$4)+1, MATCH(Y$3, 서포터데이터!$C$1:$AAY$1, 0)+Y$1), 0)</f>
        <v>0</v>
      </c>
      <c r="Z20" s="24" cm="1">
        <f t="array" ref="Z20">IFERROR(INDEX(서포터데이터!$C$3:$AAY$52, ROW()-ROW(Z$4)+1, MATCH(Z$3, 서포터데이터!$C$1:$AAY$1, 0)+Z$1), 0)</f>
        <v>0</v>
      </c>
      <c r="AA20" s="25" cm="1">
        <f t="array" ref="AA20">IFERROR(INDEX(서포터데이터!$C$3:$AAY$52, ROW()-ROW(AA$4)+1, MATCH(AA$3, 서포터데이터!$C$1:$AAY$1, 0)+AA$1), 0)</f>
        <v>0</v>
      </c>
      <c r="AB20" s="61">
        <f t="shared" si="9"/>
        <v>0</v>
      </c>
      <c r="AC20" s="24" cm="1">
        <f t="array" ref="AC20">IFERROR(INDEX(딜러데이터!$C$3:$AAM$52, ROW()-ROW(AC$4)+1, MATCH(AC$3, 딜러데이터!$C$1:$AAM$1, 0)+AC$1), 0)</f>
        <v>0</v>
      </c>
      <c r="AD20" s="24" cm="1">
        <f t="array" ref="AD20">IFERROR(INDEX(서포터데이터!$C$3:$AAY$52, ROW()-ROW(AD$4)+1, MATCH(AD$3, 서포터데이터!$C$1:$AAY$1, 0)+AD$1), 0)</f>
        <v>0</v>
      </c>
      <c r="AE20" s="24" cm="1">
        <f t="array" ref="AE20">IFERROR(INDEX(서포터데이터!$C$3:$AAY$52, ROW()-ROW(AE$4)+1, MATCH(AE$3, 서포터데이터!$C$1:$AAY$1, 0)+AE$1), 0)</f>
        <v>0</v>
      </c>
      <c r="AF20" s="24" cm="1">
        <f t="array" ref="AF20">IFERROR(INDEX(서포터데이터!$C$3:$AAY$52, ROW()-ROW(AF$4)+1, MATCH(AF$3, 서포터데이터!$C$1:$AAY$1, 0)+AF$1), 0)</f>
        <v>0</v>
      </c>
      <c r="AG20" s="25" cm="1">
        <f t="array" ref="AG20">IFERROR(INDEX(서포터데이터!$C$3:$AAY$52, ROW()-ROW(AG$4)+1, MATCH(AG$3, 서포터데이터!$C$1:$AAY$1, 0)+AG$1), 0)</f>
        <v>0</v>
      </c>
      <c r="AH20" s="61">
        <f t="shared" si="10"/>
        <v>0</v>
      </c>
      <c r="AI20" s="24" cm="1">
        <f t="array" ref="AI20">IFERROR(INDEX(딜러데이터!$C$3:$AAM$52, ROW()-ROW(AI$4)+1, MATCH(AI$3, 딜러데이터!$C$1:$AAM$1, 0)+AI$1), 0)</f>
        <v>0</v>
      </c>
      <c r="AJ20" s="24" cm="1">
        <f t="array" ref="AJ20">IFERROR(INDEX(서포터데이터!$C$3:$AAY$52, ROW()-ROW(AJ$4)+1, MATCH(AJ$3, 서포터데이터!$C$1:$AAY$1, 0)+AJ$1), 0)</f>
        <v>0</v>
      </c>
      <c r="AK20" s="24" cm="1">
        <f t="array" ref="AK20">IFERROR(INDEX(서포터데이터!$C$3:$AAY$52, ROW()-ROW(AK$4)+1, MATCH(AK$3, 서포터데이터!$C$1:$AAY$1, 0)+AK$1), 0)</f>
        <v>0</v>
      </c>
      <c r="AL20" s="24" cm="1">
        <f t="array" ref="AL20">IFERROR(INDEX(서포터데이터!$C$3:$AAY$52, ROW()-ROW(AL$4)+1, MATCH(AL$3, 서포터데이터!$C$1:$AAY$1, 0)+AL$1), 0)</f>
        <v>0</v>
      </c>
      <c r="AM20" s="25" cm="1">
        <f t="array" ref="AM20">IFERROR(INDEX(서포터데이터!$C$3:$AAY$52, ROW()-ROW(AM$4)+1, MATCH(AM$3, 서포터데이터!$C$1:$AAY$1, 0)+AM$1), 0)</f>
        <v>0</v>
      </c>
    </row>
    <row r="21" spans="1:39" x14ac:dyDescent="0.45">
      <c r="A21" s="267" t="s">
        <v>272</v>
      </c>
      <c r="B21" s="21" t="s">
        <v>273</v>
      </c>
      <c r="C21" s="22">
        <f>메인!C21</f>
        <v>0</v>
      </c>
      <c r="D21" s="61">
        <f t="shared" ref="D21:D41" si="12">$C21+SUM(E21:I21)</f>
        <v>0.20050000000000001</v>
      </c>
      <c r="E21" s="24" cm="1">
        <f t="array" ref="E21">IFERROR(INDEX(딜러데이터!$C$3:$AAM$52, ROW()-ROW(E$4)+1, MATCH(E$3, 딜러데이터!$C$1:$AAM$1, 0)+E$1), 0)</f>
        <v>0</v>
      </c>
      <c r="F21" s="24" cm="1">
        <f t="array" ref="F21">IFERROR(INDEX(서포터데이터!$C$3:$AAY$52, ROW()-ROW(F$4)+1, MATCH(F$3, 서포터데이터!$C$1:$AAY$1, 0)+F$1), 0)</f>
        <v>0</v>
      </c>
      <c r="G21" s="24" cm="1">
        <f t="array" ref="G21">IFERROR(INDEX(서포터데이터!$C$3:$AAY$52, ROW()-ROW(G$4)+1, MATCH(G$3, 서포터데이터!$C$1:$AAY$1, 0)+G$1), 0)</f>
        <v>0.20050000000000001</v>
      </c>
      <c r="H21" s="24" cm="1">
        <f t="array" ref="H21">IFERROR(INDEX(서포터데이터!$C$3:$AAY$52, ROW()-ROW(H$4)+1, MATCH(H$3, 서포터데이터!$C$1:$AAY$1, 0)+H$1), 0)</f>
        <v>0</v>
      </c>
      <c r="I21" s="25" cm="1">
        <f t="array" ref="I21">IFERROR(INDEX(서포터데이터!$C$3:$AAY$52, ROW()-ROW(I$4)+1, MATCH(I$3, 서포터데이터!$C$1:$AAY$1, 0)+I$1), 0)</f>
        <v>0</v>
      </c>
      <c r="J21" s="61">
        <f t="shared" si="11"/>
        <v>0.20050000000000001</v>
      </c>
      <c r="K21" s="24" cm="1">
        <f t="array" ref="K21">IFERROR(INDEX(딜러데이터!$C$3:$AAM$52, ROW()-ROW(K$4)+1, MATCH(K$3, 딜러데이터!$C$1:$AAM$1, 0)+K$1), 0)</f>
        <v>0</v>
      </c>
      <c r="L21" s="24" cm="1">
        <f t="array" ref="L21">IFERROR(INDEX(서포터데이터!$C$3:$AAY$52, ROW()-ROW(L$4)+1, MATCH(L$3, 서포터데이터!$C$1:$AAY$1, 0)+L$1), 0)</f>
        <v>0</v>
      </c>
      <c r="M21" s="24" cm="1">
        <f t="array" ref="M21">IFERROR(INDEX(서포터데이터!$C$3:$AAY$52, ROW()-ROW(M$4)+1, MATCH(M$3, 서포터데이터!$C$1:$AAY$1, 0)+M$1), 0)</f>
        <v>0.20050000000000001</v>
      </c>
      <c r="N21" s="24" cm="1">
        <f t="array" ref="N21">IFERROR(INDEX(서포터데이터!$C$3:$AAY$52, ROW()-ROW(N$4)+1, MATCH(N$3, 서포터데이터!$C$1:$AAY$1, 0)+N$1), 0)</f>
        <v>0</v>
      </c>
      <c r="O21" s="25" cm="1">
        <f t="array" ref="O21">IFERROR(INDEX(서포터데이터!$C$3:$AAY$52, ROW()-ROW(O$4)+1, MATCH(O$3, 서포터데이터!$C$1:$AAY$1, 0)+O$1), 0)</f>
        <v>0</v>
      </c>
      <c r="P21" s="61">
        <f t="shared" si="7"/>
        <v>0.20050000000000001</v>
      </c>
      <c r="Q21" s="24" cm="1">
        <f t="array" ref="Q21">IFERROR(INDEX(딜러데이터!$C$3:$AAM$52, ROW()-ROW(Q$4)+1, MATCH(Q$3, 딜러데이터!$C$1:$AAM$1, 0)+Q$1), 0)</f>
        <v>0</v>
      </c>
      <c r="R21" s="24" cm="1">
        <f t="array" ref="R21">IFERROR(INDEX(서포터데이터!$C$3:$AAY$52, ROW()-ROW(R$4)+1, MATCH(R$3, 서포터데이터!$C$1:$AAY$1, 0)+R$1), 0)</f>
        <v>0</v>
      </c>
      <c r="S21" s="24" cm="1">
        <f t="array" ref="S21">IFERROR(INDEX(서포터데이터!$C$3:$AAY$52, ROW()-ROW(S$4)+1, MATCH(S$3, 서포터데이터!$C$1:$AAY$1, 0)+S$1), 0)</f>
        <v>0.20050000000000001</v>
      </c>
      <c r="T21" s="24" cm="1">
        <f t="array" ref="T21">IFERROR(INDEX(서포터데이터!$C$3:$AAY$52, ROW()-ROW(T$4)+1, MATCH(T$3, 서포터데이터!$C$1:$AAY$1, 0)+T$1), 0)</f>
        <v>0</v>
      </c>
      <c r="U21" s="25" cm="1">
        <f t="array" ref="U21">IFERROR(INDEX(서포터데이터!$C$3:$AAY$52, ROW()-ROW(U$4)+1, MATCH(U$3, 서포터데이터!$C$1:$AAY$1, 0)+U$1), 0)</f>
        <v>0</v>
      </c>
      <c r="V21" s="61">
        <f t="shared" si="8"/>
        <v>0.20050000000000001</v>
      </c>
      <c r="W21" s="24" cm="1">
        <f t="array" ref="W21">IFERROR(INDEX(딜러데이터!$C$3:$AAM$52, ROW()-ROW(W$4)+1, MATCH(W$3, 딜러데이터!$C$1:$AAM$1, 0)+W$1), 0)</f>
        <v>0</v>
      </c>
      <c r="X21" s="24" cm="1">
        <f t="array" ref="X21">IFERROR(INDEX(서포터데이터!$C$3:$AAY$52, ROW()-ROW(X$4)+1, MATCH(X$3, 서포터데이터!$C$1:$AAY$1, 0)+X$1), 0)</f>
        <v>0</v>
      </c>
      <c r="Y21" s="24" cm="1">
        <f t="array" ref="Y21">IFERROR(INDEX(서포터데이터!$C$3:$AAY$52, ROW()-ROW(Y$4)+1, MATCH(Y$3, 서포터데이터!$C$1:$AAY$1, 0)+Y$1), 0)</f>
        <v>0.20050000000000001</v>
      </c>
      <c r="Z21" s="24" cm="1">
        <f t="array" ref="Z21">IFERROR(INDEX(서포터데이터!$C$3:$AAY$52, ROW()-ROW(Z$4)+1, MATCH(Z$3, 서포터데이터!$C$1:$AAY$1, 0)+Z$1), 0)</f>
        <v>0</v>
      </c>
      <c r="AA21" s="25" cm="1">
        <f t="array" ref="AA21">IFERROR(INDEX(서포터데이터!$C$3:$AAY$52, ROW()-ROW(AA$4)+1, MATCH(AA$3, 서포터데이터!$C$1:$AAY$1, 0)+AA$1), 0)</f>
        <v>0</v>
      </c>
      <c r="AB21" s="61">
        <f t="shared" si="9"/>
        <v>0.20050000000000001</v>
      </c>
      <c r="AC21" s="24" cm="1">
        <f t="array" ref="AC21">IFERROR(INDEX(딜러데이터!$C$3:$AAM$52, ROW()-ROW(AC$4)+1, MATCH(AC$3, 딜러데이터!$C$1:$AAM$1, 0)+AC$1), 0)</f>
        <v>0</v>
      </c>
      <c r="AD21" s="24" cm="1">
        <f t="array" ref="AD21">IFERROR(INDEX(서포터데이터!$C$3:$AAY$52, ROW()-ROW(AD$4)+1, MATCH(AD$3, 서포터데이터!$C$1:$AAY$1, 0)+AD$1), 0)</f>
        <v>0</v>
      </c>
      <c r="AE21" s="24" cm="1">
        <f t="array" ref="AE21">IFERROR(INDEX(서포터데이터!$C$3:$AAY$52, ROW()-ROW(AE$4)+1, MATCH(AE$3, 서포터데이터!$C$1:$AAY$1, 0)+AE$1), 0)</f>
        <v>0.20050000000000001</v>
      </c>
      <c r="AF21" s="24" cm="1">
        <f t="array" ref="AF21">IFERROR(INDEX(서포터데이터!$C$3:$AAY$52, ROW()-ROW(AF$4)+1, MATCH(AF$3, 서포터데이터!$C$1:$AAY$1, 0)+AF$1), 0)</f>
        <v>0</v>
      </c>
      <c r="AG21" s="25" cm="1">
        <f t="array" ref="AG21">IFERROR(INDEX(서포터데이터!$C$3:$AAY$52, ROW()-ROW(AG$4)+1, MATCH(AG$3, 서포터데이터!$C$1:$AAY$1, 0)+AG$1), 0)</f>
        <v>0</v>
      </c>
      <c r="AH21" s="61">
        <f t="shared" si="10"/>
        <v>0.20050000000000001</v>
      </c>
      <c r="AI21" s="24" cm="1">
        <f t="array" ref="AI21">IFERROR(INDEX(딜러데이터!$C$3:$AAM$52, ROW()-ROW(AI$4)+1, MATCH(AI$3, 딜러데이터!$C$1:$AAM$1, 0)+AI$1), 0)</f>
        <v>0</v>
      </c>
      <c r="AJ21" s="24" cm="1">
        <f t="array" ref="AJ21">IFERROR(INDEX(서포터데이터!$C$3:$AAY$52, ROW()-ROW(AJ$4)+1, MATCH(AJ$3, 서포터데이터!$C$1:$AAY$1, 0)+AJ$1), 0)</f>
        <v>0</v>
      </c>
      <c r="AK21" s="24" cm="1">
        <f t="array" ref="AK21">IFERROR(INDEX(서포터데이터!$C$3:$AAY$52, ROW()-ROW(AK$4)+1, MATCH(AK$3, 서포터데이터!$C$1:$AAY$1, 0)+AK$1), 0)</f>
        <v>0.20050000000000001</v>
      </c>
      <c r="AL21" s="24" cm="1">
        <f t="array" ref="AL21">IFERROR(INDEX(서포터데이터!$C$3:$AAY$52, ROW()-ROW(AL$4)+1, MATCH(AL$3, 서포터데이터!$C$1:$AAY$1, 0)+AL$1), 0)</f>
        <v>0</v>
      </c>
      <c r="AM21" s="25" cm="1">
        <f t="array" ref="AM21">IFERROR(INDEX(서포터데이터!$C$3:$AAY$52, ROW()-ROW(AM$4)+1, MATCH(AM$3, 서포터데이터!$C$1:$AAY$1, 0)+AM$1), 0)</f>
        <v>0</v>
      </c>
    </row>
    <row r="22" spans="1:39" x14ac:dyDescent="0.45">
      <c r="A22" s="267"/>
      <c r="B22" s="17" t="s">
        <v>274</v>
      </c>
      <c r="C22" s="22"/>
      <c r="D22" s="61">
        <f t="shared" si="12"/>
        <v>0</v>
      </c>
      <c r="E22" s="24" cm="1">
        <f t="array" ref="E22">IFERROR(INDEX(딜러데이터!$C$3:$AAM$52, ROW()-ROW(E$4)+1, MATCH(E$3, 딜러데이터!$C$1:$AAM$1, 0)+E$1), 0)</f>
        <v>0</v>
      </c>
      <c r="F22" s="24" cm="1">
        <f t="array" ref="F22">IFERROR(INDEX(서포터데이터!$C$3:$AAY$52, ROW()-ROW(F$4)+1, MATCH(F$3, 서포터데이터!$C$1:$AAY$1, 0)+F$1), 0)</f>
        <v>0</v>
      </c>
      <c r="G22" s="24" cm="1">
        <f t="array" ref="G22">IFERROR(INDEX(서포터데이터!$C$3:$AAY$52, ROW()-ROW(G$4)+1, MATCH(G$3, 서포터데이터!$C$1:$AAY$1, 0)+G$1), 0)</f>
        <v>0</v>
      </c>
      <c r="H22" s="24" cm="1">
        <f t="array" ref="H22">IFERROR(INDEX(서포터데이터!$C$3:$AAY$52, ROW()-ROW(H$4)+1, MATCH(H$3, 서포터데이터!$C$1:$AAY$1, 0)+H$1), 0)</f>
        <v>0</v>
      </c>
      <c r="I22" s="25" cm="1">
        <f t="array" ref="I22">IFERROR(INDEX(서포터데이터!$C$3:$AAY$52, ROW()-ROW(I$4)+1, MATCH(I$3, 서포터데이터!$C$1:$AAY$1, 0)+I$1), 0)</f>
        <v>0</v>
      </c>
      <c r="J22" s="61">
        <f t="shared" si="11"/>
        <v>0</v>
      </c>
      <c r="K22" s="24" cm="1">
        <f t="array" ref="K22">IFERROR(INDEX(딜러데이터!$C$3:$AAM$52, ROW()-ROW(K$4)+1, MATCH(K$3, 딜러데이터!$C$1:$AAM$1, 0)+K$1), 0)</f>
        <v>0</v>
      </c>
      <c r="L22" s="24" cm="1">
        <f t="array" ref="L22">IFERROR(INDEX(서포터데이터!$C$3:$AAY$52, ROW()-ROW(L$4)+1, MATCH(L$3, 서포터데이터!$C$1:$AAY$1, 0)+L$1), 0)</f>
        <v>0</v>
      </c>
      <c r="M22" s="24" cm="1">
        <f t="array" ref="M22">IFERROR(INDEX(서포터데이터!$C$3:$AAY$52, ROW()-ROW(M$4)+1, MATCH(M$3, 서포터데이터!$C$1:$AAY$1, 0)+M$1), 0)</f>
        <v>0</v>
      </c>
      <c r="N22" s="24" cm="1">
        <f t="array" ref="N22">IFERROR(INDEX(서포터데이터!$C$3:$AAY$52, ROW()-ROW(N$4)+1, MATCH(N$3, 서포터데이터!$C$1:$AAY$1, 0)+N$1), 0)</f>
        <v>0</v>
      </c>
      <c r="O22" s="25" cm="1">
        <f t="array" ref="O22">IFERROR(INDEX(서포터데이터!$C$3:$AAY$52, ROW()-ROW(O$4)+1, MATCH(O$3, 서포터데이터!$C$1:$AAY$1, 0)+O$1), 0)</f>
        <v>0</v>
      </c>
      <c r="P22" s="61">
        <f t="shared" si="7"/>
        <v>0</v>
      </c>
      <c r="Q22" s="24" cm="1">
        <f t="array" ref="Q22">IFERROR(INDEX(딜러데이터!$C$3:$AAM$52, ROW()-ROW(Q$4)+1, MATCH(Q$3, 딜러데이터!$C$1:$AAM$1, 0)+Q$1), 0)</f>
        <v>0</v>
      </c>
      <c r="R22" s="24" cm="1">
        <f t="array" ref="R22">IFERROR(INDEX(서포터데이터!$C$3:$AAY$52, ROW()-ROW(R$4)+1, MATCH(R$3, 서포터데이터!$C$1:$AAY$1, 0)+R$1), 0)</f>
        <v>0</v>
      </c>
      <c r="S22" s="24" cm="1">
        <f t="array" ref="S22">IFERROR(INDEX(서포터데이터!$C$3:$AAY$52, ROW()-ROW(S$4)+1, MATCH(S$3, 서포터데이터!$C$1:$AAY$1, 0)+S$1), 0)</f>
        <v>0</v>
      </c>
      <c r="T22" s="24" cm="1">
        <f t="array" ref="T22">IFERROR(INDEX(서포터데이터!$C$3:$AAY$52, ROW()-ROW(T$4)+1, MATCH(T$3, 서포터데이터!$C$1:$AAY$1, 0)+T$1), 0)</f>
        <v>0</v>
      </c>
      <c r="U22" s="25" cm="1">
        <f t="array" ref="U22">IFERROR(INDEX(서포터데이터!$C$3:$AAY$52, ROW()-ROW(U$4)+1, MATCH(U$3, 서포터데이터!$C$1:$AAY$1, 0)+U$1), 0)</f>
        <v>0</v>
      </c>
      <c r="V22" s="61">
        <f t="shared" si="8"/>
        <v>0</v>
      </c>
      <c r="W22" s="24" cm="1">
        <f t="array" ref="W22">IFERROR(INDEX(딜러데이터!$C$3:$AAM$52, ROW()-ROW(W$4)+1, MATCH(W$3, 딜러데이터!$C$1:$AAM$1, 0)+W$1), 0)</f>
        <v>0</v>
      </c>
      <c r="X22" s="24" cm="1">
        <f t="array" ref="X22">IFERROR(INDEX(서포터데이터!$C$3:$AAY$52, ROW()-ROW(X$4)+1, MATCH(X$3, 서포터데이터!$C$1:$AAY$1, 0)+X$1), 0)</f>
        <v>0</v>
      </c>
      <c r="Y22" s="24" cm="1">
        <f t="array" ref="Y22">IFERROR(INDEX(서포터데이터!$C$3:$AAY$52, ROW()-ROW(Y$4)+1, MATCH(Y$3, 서포터데이터!$C$1:$AAY$1, 0)+Y$1), 0)</f>
        <v>0</v>
      </c>
      <c r="Z22" s="24" cm="1">
        <f t="array" ref="Z22">IFERROR(INDEX(서포터데이터!$C$3:$AAY$52, ROW()-ROW(Z$4)+1, MATCH(Z$3, 서포터데이터!$C$1:$AAY$1, 0)+Z$1), 0)</f>
        <v>0</v>
      </c>
      <c r="AA22" s="25" cm="1">
        <f t="array" ref="AA22">IFERROR(INDEX(서포터데이터!$C$3:$AAY$52, ROW()-ROW(AA$4)+1, MATCH(AA$3, 서포터데이터!$C$1:$AAY$1, 0)+AA$1), 0)</f>
        <v>0</v>
      </c>
      <c r="AB22" s="61">
        <f t="shared" si="9"/>
        <v>0</v>
      </c>
      <c r="AC22" s="24" cm="1">
        <f t="array" ref="AC22">IFERROR(INDEX(딜러데이터!$C$3:$AAM$52, ROW()-ROW(AC$4)+1, MATCH(AC$3, 딜러데이터!$C$1:$AAM$1, 0)+AC$1), 0)</f>
        <v>0</v>
      </c>
      <c r="AD22" s="24" cm="1">
        <f t="array" ref="AD22">IFERROR(INDEX(서포터데이터!$C$3:$AAY$52, ROW()-ROW(AD$4)+1, MATCH(AD$3, 서포터데이터!$C$1:$AAY$1, 0)+AD$1), 0)</f>
        <v>0</v>
      </c>
      <c r="AE22" s="24" cm="1">
        <f t="array" ref="AE22">IFERROR(INDEX(서포터데이터!$C$3:$AAY$52, ROW()-ROW(AE$4)+1, MATCH(AE$3, 서포터데이터!$C$1:$AAY$1, 0)+AE$1), 0)</f>
        <v>0</v>
      </c>
      <c r="AF22" s="24" cm="1">
        <f t="array" ref="AF22">IFERROR(INDEX(서포터데이터!$C$3:$AAY$52, ROW()-ROW(AF$4)+1, MATCH(AF$3, 서포터데이터!$C$1:$AAY$1, 0)+AF$1), 0)</f>
        <v>0</v>
      </c>
      <c r="AG22" s="25" cm="1">
        <f t="array" ref="AG22">IFERROR(INDEX(서포터데이터!$C$3:$AAY$52, ROW()-ROW(AG$4)+1, MATCH(AG$3, 서포터데이터!$C$1:$AAY$1, 0)+AG$1), 0)</f>
        <v>0</v>
      </c>
      <c r="AH22" s="61">
        <f t="shared" si="10"/>
        <v>0</v>
      </c>
      <c r="AI22" s="24" cm="1">
        <f t="array" ref="AI22">IFERROR(INDEX(딜러데이터!$C$3:$AAM$52, ROW()-ROW(AI$4)+1, MATCH(AI$3, 딜러데이터!$C$1:$AAM$1, 0)+AI$1), 0)</f>
        <v>0</v>
      </c>
      <c r="AJ22" s="24" cm="1">
        <f t="array" ref="AJ22">IFERROR(INDEX(서포터데이터!$C$3:$AAY$52, ROW()-ROW(AJ$4)+1, MATCH(AJ$3, 서포터데이터!$C$1:$AAY$1, 0)+AJ$1), 0)</f>
        <v>0</v>
      </c>
      <c r="AK22" s="24" cm="1">
        <f t="array" ref="AK22">IFERROR(INDEX(서포터데이터!$C$3:$AAY$52, ROW()-ROW(AK$4)+1, MATCH(AK$3, 서포터데이터!$C$1:$AAY$1, 0)+AK$1), 0)</f>
        <v>0</v>
      </c>
      <c r="AL22" s="24" cm="1">
        <f t="array" ref="AL22">IFERROR(INDEX(서포터데이터!$C$3:$AAY$52, ROW()-ROW(AL$4)+1, MATCH(AL$3, 서포터데이터!$C$1:$AAY$1, 0)+AL$1), 0)</f>
        <v>0</v>
      </c>
      <c r="AM22" s="25" cm="1">
        <f t="array" ref="AM22">IFERROR(INDEX(서포터데이터!$C$3:$AAY$52, ROW()-ROW(AM$4)+1, MATCH(AM$3, 서포터데이터!$C$1:$AAY$1, 0)+AM$1), 0)</f>
        <v>0</v>
      </c>
    </row>
    <row r="23" spans="1:39" x14ac:dyDescent="0.45">
      <c r="A23" s="267"/>
      <c r="B23" s="17" t="s">
        <v>275</v>
      </c>
      <c r="C23" s="22">
        <f>메인!C22</f>
        <v>0</v>
      </c>
      <c r="D23" s="61">
        <f t="shared" si="12"/>
        <v>0.40039999999999998</v>
      </c>
      <c r="E23" s="24" cm="1">
        <f t="array" ref="E23">IFERROR(INDEX(딜러데이터!$C$3:$AAM$52, ROW()-ROW(E$4)+1, MATCH(E$3, 딜러데이터!$C$1:$AAM$1, 0)+E$1), 0)</f>
        <v>0</v>
      </c>
      <c r="F23" s="24" cm="1">
        <f t="array" ref="F23">IFERROR(INDEX(서포터데이터!$C$3:$AAY$52, ROW()-ROW(F$4)+1, MATCH(F$3, 서포터데이터!$C$1:$AAY$1, 0)+F$1), 0)</f>
        <v>0</v>
      </c>
      <c r="G23" s="24" cm="1">
        <f t="array" ref="G23">IFERROR(INDEX(서포터데이터!$C$3:$AAY$52, ROW()-ROW(G$4)+1, MATCH(G$3, 서포터데이터!$C$1:$AAY$1, 0)+G$1), 0)</f>
        <v>0.40039999999999998</v>
      </c>
      <c r="H23" s="24" cm="1">
        <f t="array" ref="H23">IFERROR(INDEX(서포터데이터!$C$3:$AAY$52, ROW()-ROW(H$4)+1, MATCH(H$3, 서포터데이터!$C$1:$AAY$1, 0)+H$1), 0)</f>
        <v>0</v>
      </c>
      <c r="I23" s="25" cm="1">
        <f t="array" ref="I23">IFERROR(INDEX(서포터데이터!$C$3:$AAY$52, ROW()-ROW(I$4)+1, MATCH(I$3, 서포터데이터!$C$1:$AAY$1, 0)+I$1), 0)</f>
        <v>0</v>
      </c>
      <c r="J23" s="61">
        <f t="shared" si="11"/>
        <v>0.40039999999999998</v>
      </c>
      <c r="K23" s="24" cm="1">
        <f t="array" ref="K23">IFERROR(INDEX(딜러데이터!$C$3:$AAM$52, ROW()-ROW(K$4)+1, MATCH(K$3, 딜러데이터!$C$1:$AAM$1, 0)+K$1), 0)</f>
        <v>0</v>
      </c>
      <c r="L23" s="24" cm="1">
        <f t="array" ref="L23">IFERROR(INDEX(서포터데이터!$C$3:$AAY$52, ROW()-ROW(L$4)+1, MATCH(L$3, 서포터데이터!$C$1:$AAY$1, 0)+L$1), 0)</f>
        <v>0</v>
      </c>
      <c r="M23" s="24" cm="1">
        <f t="array" ref="M23">IFERROR(INDEX(서포터데이터!$C$3:$AAY$52, ROW()-ROW(M$4)+1, MATCH(M$3, 서포터데이터!$C$1:$AAY$1, 0)+M$1), 0)</f>
        <v>0.40039999999999998</v>
      </c>
      <c r="N23" s="24" cm="1">
        <f t="array" ref="N23">IFERROR(INDEX(서포터데이터!$C$3:$AAY$52, ROW()-ROW(N$4)+1, MATCH(N$3, 서포터데이터!$C$1:$AAY$1, 0)+N$1), 0)</f>
        <v>0</v>
      </c>
      <c r="O23" s="25" cm="1">
        <f t="array" ref="O23">IFERROR(INDEX(서포터데이터!$C$3:$AAY$52, ROW()-ROW(O$4)+1, MATCH(O$3, 서포터데이터!$C$1:$AAY$1, 0)+O$1), 0)</f>
        <v>0</v>
      </c>
      <c r="P23" s="61">
        <f t="shared" si="7"/>
        <v>0.40039999999999998</v>
      </c>
      <c r="Q23" s="24" cm="1">
        <f t="array" ref="Q23">IFERROR(INDEX(딜러데이터!$C$3:$AAM$52, ROW()-ROW(Q$4)+1, MATCH(Q$3, 딜러데이터!$C$1:$AAM$1, 0)+Q$1), 0)</f>
        <v>0</v>
      </c>
      <c r="R23" s="24" cm="1">
        <f t="array" ref="R23">IFERROR(INDEX(서포터데이터!$C$3:$AAY$52, ROW()-ROW(R$4)+1, MATCH(R$3, 서포터데이터!$C$1:$AAY$1, 0)+R$1), 0)</f>
        <v>0</v>
      </c>
      <c r="S23" s="24" cm="1">
        <f t="array" ref="S23">IFERROR(INDEX(서포터데이터!$C$3:$AAY$52, ROW()-ROW(S$4)+1, MATCH(S$3, 서포터데이터!$C$1:$AAY$1, 0)+S$1), 0)</f>
        <v>0.40039999999999998</v>
      </c>
      <c r="T23" s="24" cm="1">
        <f t="array" ref="T23">IFERROR(INDEX(서포터데이터!$C$3:$AAY$52, ROW()-ROW(T$4)+1, MATCH(T$3, 서포터데이터!$C$1:$AAY$1, 0)+T$1), 0)</f>
        <v>0</v>
      </c>
      <c r="U23" s="25" cm="1">
        <f t="array" ref="U23">IFERROR(INDEX(서포터데이터!$C$3:$AAY$52, ROW()-ROW(U$4)+1, MATCH(U$3, 서포터데이터!$C$1:$AAY$1, 0)+U$1), 0)</f>
        <v>0</v>
      </c>
      <c r="V23" s="61">
        <f t="shared" si="8"/>
        <v>0</v>
      </c>
      <c r="W23" s="24" cm="1">
        <f t="array" ref="W23">IFERROR(INDEX(딜러데이터!$C$3:$AAM$52, ROW()-ROW(W$4)+1, MATCH(W$3, 딜러데이터!$C$1:$AAM$1, 0)+W$1), 0)</f>
        <v>0</v>
      </c>
      <c r="X23" s="24" cm="1">
        <f t="array" ref="X23">IFERROR(INDEX(서포터데이터!$C$3:$AAY$52, ROW()-ROW(X$4)+1, MATCH(X$3, 서포터데이터!$C$1:$AAY$1, 0)+X$1), 0)</f>
        <v>0</v>
      </c>
      <c r="Y23" s="24" cm="1">
        <f t="array" ref="Y23">IFERROR(INDEX(서포터데이터!$C$3:$AAY$52, ROW()-ROW(Y$4)+1, MATCH(Y$3, 서포터데이터!$C$1:$AAY$1, 0)+Y$1), 0)</f>
        <v>0</v>
      </c>
      <c r="Z23" s="24" cm="1">
        <f t="array" ref="Z23">IFERROR(INDEX(서포터데이터!$C$3:$AAY$52, ROW()-ROW(Z$4)+1, MATCH(Z$3, 서포터데이터!$C$1:$AAY$1, 0)+Z$1), 0)</f>
        <v>0</v>
      </c>
      <c r="AA23" s="25" cm="1">
        <f t="array" ref="AA23">IFERROR(INDEX(서포터데이터!$C$3:$AAY$52, ROW()-ROW(AA$4)+1, MATCH(AA$3, 서포터데이터!$C$1:$AAY$1, 0)+AA$1), 0)</f>
        <v>0</v>
      </c>
      <c r="AB23" s="61">
        <f t="shared" si="9"/>
        <v>0</v>
      </c>
      <c r="AC23" s="24" cm="1">
        <f t="array" ref="AC23">IFERROR(INDEX(딜러데이터!$C$3:$AAM$52, ROW()-ROW(AC$4)+1, MATCH(AC$3, 딜러데이터!$C$1:$AAM$1, 0)+AC$1), 0)</f>
        <v>0</v>
      </c>
      <c r="AD23" s="24" cm="1">
        <f t="array" ref="AD23">IFERROR(INDEX(서포터데이터!$C$3:$AAY$52, ROW()-ROW(AD$4)+1, MATCH(AD$3, 서포터데이터!$C$1:$AAY$1, 0)+AD$1), 0)</f>
        <v>0</v>
      </c>
      <c r="AE23" s="24" cm="1">
        <f t="array" ref="AE23">IFERROR(INDEX(서포터데이터!$C$3:$AAY$52, ROW()-ROW(AE$4)+1, MATCH(AE$3, 서포터데이터!$C$1:$AAY$1, 0)+AE$1), 0)</f>
        <v>0</v>
      </c>
      <c r="AF23" s="24" cm="1">
        <f t="array" ref="AF23">IFERROR(INDEX(서포터데이터!$C$3:$AAY$52, ROW()-ROW(AF$4)+1, MATCH(AF$3, 서포터데이터!$C$1:$AAY$1, 0)+AF$1), 0)</f>
        <v>0</v>
      </c>
      <c r="AG23" s="25" cm="1">
        <f t="array" ref="AG23">IFERROR(INDEX(서포터데이터!$C$3:$AAY$52, ROW()-ROW(AG$4)+1, MATCH(AG$3, 서포터데이터!$C$1:$AAY$1, 0)+AG$1), 0)</f>
        <v>0</v>
      </c>
      <c r="AH23" s="61">
        <f t="shared" si="10"/>
        <v>0</v>
      </c>
      <c r="AI23" s="24" cm="1">
        <f t="array" ref="AI23">IFERROR(INDEX(딜러데이터!$C$3:$AAM$52, ROW()-ROW(AI$4)+1, MATCH(AI$3, 딜러데이터!$C$1:$AAM$1, 0)+AI$1), 0)</f>
        <v>0</v>
      </c>
      <c r="AJ23" s="24" cm="1">
        <f t="array" ref="AJ23">IFERROR(INDEX(서포터데이터!$C$3:$AAY$52, ROW()-ROW(AJ$4)+1, MATCH(AJ$3, 서포터데이터!$C$1:$AAY$1, 0)+AJ$1), 0)</f>
        <v>0</v>
      </c>
      <c r="AK23" s="24" cm="1">
        <f t="array" ref="AK23">IFERROR(INDEX(서포터데이터!$C$3:$AAY$52, ROW()-ROW(AK$4)+1, MATCH(AK$3, 서포터데이터!$C$1:$AAY$1, 0)+AK$1), 0)</f>
        <v>0</v>
      </c>
      <c r="AL23" s="24" cm="1">
        <f t="array" ref="AL23">IFERROR(INDEX(서포터데이터!$C$3:$AAY$52, ROW()-ROW(AL$4)+1, MATCH(AL$3, 서포터데이터!$C$1:$AAY$1, 0)+AL$1), 0)</f>
        <v>0</v>
      </c>
      <c r="AM23" s="25" cm="1">
        <f t="array" ref="AM23">IFERROR(INDEX(서포터데이터!$C$3:$AAY$52, ROW()-ROW(AM$4)+1, MATCH(AM$3, 서포터데이터!$C$1:$AAY$1, 0)+AM$1), 0)</f>
        <v>0</v>
      </c>
    </row>
    <row r="24" spans="1:39" x14ac:dyDescent="0.45">
      <c r="A24" s="267"/>
      <c r="B24" s="17" t="s">
        <v>276</v>
      </c>
      <c r="C24" s="22"/>
      <c r="D24" s="61">
        <f t="shared" si="12"/>
        <v>0</v>
      </c>
      <c r="E24" s="24" cm="1">
        <f t="array" ref="E24">IFERROR(INDEX(딜러데이터!$C$3:$AAM$52, ROW()-ROW(E$4)+1, MATCH(E$3, 딜러데이터!$C$1:$AAM$1, 0)+E$1), 0)</f>
        <v>0</v>
      </c>
      <c r="F24" s="24" cm="1">
        <f t="array" ref="F24">IFERROR(INDEX(서포터데이터!$C$3:$AAY$52, ROW()-ROW(F$4)+1, MATCH(F$3, 서포터데이터!$C$1:$AAY$1, 0)+F$1), 0)</f>
        <v>0</v>
      </c>
      <c r="G24" s="24" cm="1">
        <f t="array" ref="G24">IFERROR(INDEX(서포터데이터!$C$3:$AAY$52, ROW()-ROW(G$4)+1, MATCH(G$3, 서포터데이터!$C$1:$AAY$1, 0)+G$1), 0)</f>
        <v>0</v>
      </c>
      <c r="H24" s="24" cm="1">
        <f t="array" ref="H24">IFERROR(INDEX(서포터데이터!$C$3:$AAY$52, ROW()-ROW(H$4)+1, MATCH(H$3, 서포터데이터!$C$1:$AAY$1, 0)+H$1), 0)</f>
        <v>0</v>
      </c>
      <c r="I24" s="25" cm="1">
        <f t="array" ref="I24">IFERROR(INDEX(서포터데이터!$C$3:$AAY$52, ROW()-ROW(I$4)+1, MATCH(I$3, 서포터데이터!$C$1:$AAY$1, 0)+I$1), 0)</f>
        <v>0</v>
      </c>
      <c r="J24" s="61">
        <f t="shared" si="11"/>
        <v>0</v>
      </c>
      <c r="K24" s="24" cm="1">
        <f t="array" ref="K24">IFERROR(INDEX(딜러데이터!$C$3:$AAM$52, ROW()-ROW(K$4)+1, MATCH(K$3, 딜러데이터!$C$1:$AAM$1, 0)+K$1), 0)</f>
        <v>0</v>
      </c>
      <c r="L24" s="24" cm="1">
        <f t="array" ref="L24">IFERROR(INDEX(서포터데이터!$C$3:$AAY$52, ROW()-ROW(L$4)+1, MATCH(L$3, 서포터데이터!$C$1:$AAY$1, 0)+L$1), 0)</f>
        <v>0</v>
      </c>
      <c r="M24" s="24" cm="1">
        <f t="array" ref="M24">IFERROR(INDEX(서포터데이터!$C$3:$AAY$52, ROW()-ROW(M$4)+1, MATCH(M$3, 서포터데이터!$C$1:$AAY$1, 0)+M$1), 0)</f>
        <v>0</v>
      </c>
      <c r="N24" s="24" cm="1">
        <f t="array" ref="N24">IFERROR(INDEX(서포터데이터!$C$3:$AAY$52, ROW()-ROW(N$4)+1, MATCH(N$3, 서포터데이터!$C$1:$AAY$1, 0)+N$1), 0)</f>
        <v>0</v>
      </c>
      <c r="O24" s="25" cm="1">
        <f t="array" ref="O24">IFERROR(INDEX(서포터데이터!$C$3:$AAY$52, ROW()-ROW(O$4)+1, MATCH(O$3, 서포터데이터!$C$1:$AAY$1, 0)+O$1), 0)</f>
        <v>0</v>
      </c>
      <c r="P24" s="61">
        <f t="shared" si="7"/>
        <v>0</v>
      </c>
      <c r="Q24" s="24" cm="1">
        <f t="array" ref="Q24">IFERROR(INDEX(딜러데이터!$C$3:$AAM$52, ROW()-ROW(Q$4)+1, MATCH(Q$3, 딜러데이터!$C$1:$AAM$1, 0)+Q$1), 0)</f>
        <v>0</v>
      </c>
      <c r="R24" s="24" cm="1">
        <f t="array" ref="R24">IFERROR(INDEX(서포터데이터!$C$3:$AAY$52, ROW()-ROW(R$4)+1, MATCH(R$3, 서포터데이터!$C$1:$AAY$1, 0)+R$1), 0)</f>
        <v>0</v>
      </c>
      <c r="S24" s="24" cm="1">
        <f t="array" ref="S24">IFERROR(INDEX(서포터데이터!$C$3:$AAY$52, ROW()-ROW(S$4)+1, MATCH(S$3, 서포터데이터!$C$1:$AAY$1, 0)+S$1), 0)</f>
        <v>0</v>
      </c>
      <c r="T24" s="24" cm="1">
        <f t="array" ref="T24">IFERROR(INDEX(서포터데이터!$C$3:$AAY$52, ROW()-ROW(T$4)+1, MATCH(T$3, 서포터데이터!$C$1:$AAY$1, 0)+T$1), 0)</f>
        <v>0</v>
      </c>
      <c r="U24" s="25" cm="1">
        <f t="array" ref="U24">IFERROR(INDEX(서포터데이터!$C$3:$AAY$52, ROW()-ROW(U$4)+1, MATCH(U$3, 서포터데이터!$C$1:$AAY$1, 0)+U$1), 0)</f>
        <v>0</v>
      </c>
      <c r="V24" s="61">
        <f t="shared" si="8"/>
        <v>0</v>
      </c>
      <c r="W24" s="24" cm="1">
        <f t="array" ref="W24">IFERROR(INDEX(딜러데이터!$C$3:$AAM$52, ROW()-ROW(W$4)+1, MATCH(W$3, 딜러데이터!$C$1:$AAM$1, 0)+W$1), 0)</f>
        <v>0</v>
      </c>
      <c r="X24" s="24" cm="1">
        <f t="array" ref="X24">IFERROR(INDEX(서포터데이터!$C$3:$AAY$52, ROW()-ROW(X$4)+1, MATCH(X$3, 서포터데이터!$C$1:$AAY$1, 0)+X$1), 0)</f>
        <v>0</v>
      </c>
      <c r="Y24" s="24" cm="1">
        <f t="array" ref="Y24">IFERROR(INDEX(서포터데이터!$C$3:$AAY$52, ROW()-ROW(Y$4)+1, MATCH(Y$3, 서포터데이터!$C$1:$AAY$1, 0)+Y$1), 0)</f>
        <v>0</v>
      </c>
      <c r="Z24" s="24" cm="1">
        <f t="array" ref="Z24">IFERROR(INDEX(서포터데이터!$C$3:$AAY$52, ROW()-ROW(Z$4)+1, MATCH(Z$3, 서포터데이터!$C$1:$AAY$1, 0)+Z$1), 0)</f>
        <v>0</v>
      </c>
      <c r="AA24" s="25" cm="1">
        <f t="array" ref="AA24">IFERROR(INDEX(서포터데이터!$C$3:$AAY$52, ROW()-ROW(AA$4)+1, MATCH(AA$3, 서포터데이터!$C$1:$AAY$1, 0)+AA$1), 0)</f>
        <v>0</v>
      </c>
      <c r="AB24" s="61">
        <f t="shared" si="9"/>
        <v>0</v>
      </c>
      <c r="AC24" s="24" cm="1">
        <f t="array" ref="AC24">IFERROR(INDEX(딜러데이터!$C$3:$AAM$52, ROW()-ROW(AC$4)+1, MATCH(AC$3, 딜러데이터!$C$1:$AAM$1, 0)+AC$1), 0)</f>
        <v>0</v>
      </c>
      <c r="AD24" s="24" cm="1">
        <f t="array" ref="AD24">IFERROR(INDEX(서포터데이터!$C$3:$AAY$52, ROW()-ROW(AD$4)+1, MATCH(AD$3, 서포터데이터!$C$1:$AAY$1, 0)+AD$1), 0)</f>
        <v>0</v>
      </c>
      <c r="AE24" s="24" cm="1">
        <f t="array" ref="AE24">IFERROR(INDEX(서포터데이터!$C$3:$AAY$52, ROW()-ROW(AE$4)+1, MATCH(AE$3, 서포터데이터!$C$1:$AAY$1, 0)+AE$1), 0)</f>
        <v>0</v>
      </c>
      <c r="AF24" s="24" cm="1">
        <f t="array" ref="AF24">IFERROR(INDEX(서포터데이터!$C$3:$AAY$52, ROW()-ROW(AF$4)+1, MATCH(AF$3, 서포터데이터!$C$1:$AAY$1, 0)+AF$1), 0)</f>
        <v>0</v>
      </c>
      <c r="AG24" s="25" cm="1">
        <f t="array" ref="AG24">IFERROR(INDEX(서포터데이터!$C$3:$AAY$52, ROW()-ROW(AG$4)+1, MATCH(AG$3, 서포터데이터!$C$1:$AAY$1, 0)+AG$1), 0)</f>
        <v>0</v>
      </c>
      <c r="AH24" s="61">
        <f t="shared" si="10"/>
        <v>0</v>
      </c>
      <c r="AI24" s="24" cm="1">
        <f t="array" ref="AI24">IFERROR(INDEX(딜러데이터!$C$3:$AAM$52, ROW()-ROW(AI$4)+1, MATCH(AI$3, 딜러데이터!$C$1:$AAM$1, 0)+AI$1), 0)</f>
        <v>0</v>
      </c>
      <c r="AJ24" s="24" cm="1">
        <f t="array" ref="AJ24">IFERROR(INDEX(서포터데이터!$C$3:$AAY$52, ROW()-ROW(AJ$4)+1, MATCH(AJ$3, 서포터데이터!$C$1:$AAY$1, 0)+AJ$1), 0)</f>
        <v>0</v>
      </c>
      <c r="AK24" s="24" cm="1">
        <f t="array" ref="AK24">IFERROR(INDEX(서포터데이터!$C$3:$AAY$52, ROW()-ROW(AK$4)+1, MATCH(AK$3, 서포터데이터!$C$1:$AAY$1, 0)+AK$1), 0)</f>
        <v>0</v>
      </c>
      <c r="AL24" s="24" cm="1">
        <f t="array" ref="AL24">IFERROR(INDEX(서포터데이터!$C$3:$AAY$52, ROW()-ROW(AL$4)+1, MATCH(AL$3, 서포터데이터!$C$1:$AAY$1, 0)+AL$1), 0)</f>
        <v>0</v>
      </c>
      <c r="AM24" s="25" cm="1">
        <f t="array" ref="AM24">IFERROR(INDEX(서포터데이터!$C$3:$AAY$52, ROW()-ROW(AM$4)+1, MATCH(AM$3, 서포터데이터!$C$1:$AAY$1, 0)+AM$1), 0)</f>
        <v>0</v>
      </c>
    </row>
    <row r="25" spans="1:39" ht="17.149999999999999" customHeight="1" x14ac:dyDescent="0.45">
      <c r="A25" s="270" t="s">
        <v>277</v>
      </c>
      <c r="B25" s="21" t="s">
        <v>278</v>
      </c>
      <c r="C25" s="22">
        <f>IF(메인!F6="AR",17.04%,0)</f>
        <v>0</v>
      </c>
      <c r="D25" s="61">
        <f t="shared" si="12"/>
        <v>0</v>
      </c>
      <c r="E25" s="24" cm="1">
        <f t="array" ref="E25">IFERROR(INDEX(딜러데이터!$C$3:$AAM$52, ROW()-ROW(E$4)+1, MATCH(E$3, 딜러데이터!$C$1:$AAM$1, 0)+E$1), 0)</f>
        <v>0</v>
      </c>
      <c r="F25" s="24" cm="1">
        <f t="array" ref="F25">IFERROR(INDEX(서포터데이터!$C$3:$AAY$52, ROW()-ROW(F$4)+1, MATCH(F$3, 서포터데이터!$C$1:$AAY$1, 0)+F$1), 0)</f>
        <v>0</v>
      </c>
      <c r="G25" s="24" cm="1">
        <f t="array" ref="G25">IFERROR(INDEX(서포터데이터!$C$3:$AAY$52, ROW()-ROW(G$4)+1, MATCH(G$3, 서포터데이터!$C$1:$AAY$1, 0)+G$1), 0)</f>
        <v>0</v>
      </c>
      <c r="H25" s="24" cm="1">
        <f t="array" ref="H25">IFERROR(INDEX(서포터데이터!$C$3:$AAY$52, ROW()-ROW(H$4)+1, MATCH(H$3, 서포터데이터!$C$1:$AAY$1, 0)+H$1), 0)</f>
        <v>0</v>
      </c>
      <c r="I25" s="25" cm="1">
        <f t="array" ref="I25">IFERROR(INDEX(서포터데이터!$C$3:$AAY$52, ROW()-ROW(I$4)+1, MATCH(I$3, 서포터데이터!$C$1:$AAY$1, 0)+I$1), 0)</f>
        <v>0</v>
      </c>
      <c r="J25" s="61">
        <f t="shared" si="11"/>
        <v>0</v>
      </c>
      <c r="K25" s="24" cm="1">
        <f t="array" ref="K25">IFERROR(INDEX(딜러데이터!$C$3:$AAM$52, ROW()-ROW(K$4)+1, MATCH(K$3, 딜러데이터!$C$1:$AAM$1, 0)+K$1), 0)</f>
        <v>0</v>
      </c>
      <c r="L25" s="24" cm="1">
        <f t="array" ref="L25">IFERROR(INDEX(서포터데이터!$C$3:$AAY$52, ROW()-ROW(L$4)+1, MATCH(L$3, 서포터데이터!$C$1:$AAY$1, 0)+L$1), 0)</f>
        <v>0</v>
      </c>
      <c r="M25" s="24" cm="1">
        <f t="array" ref="M25">IFERROR(INDEX(서포터데이터!$C$3:$AAY$52, ROW()-ROW(M$4)+1, MATCH(M$3, 서포터데이터!$C$1:$AAY$1, 0)+M$1), 0)</f>
        <v>0</v>
      </c>
      <c r="N25" s="24" cm="1">
        <f t="array" ref="N25">IFERROR(INDEX(서포터데이터!$C$3:$AAY$52, ROW()-ROW(N$4)+1, MATCH(N$3, 서포터데이터!$C$1:$AAY$1, 0)+N$1), 0)</f>
        <v>0</v>
      </c>
      <c r="O25" s="25" cm="1">
        <f t="array" ref="O25">IFERROR(INDEX(서포터데이터!$C$3:$AAY$52, ROW()-ROW(O$4)+1, MATCH(O$3, 서포터데이터!$C$1:$AAY$1, 0)+O$1), 0)</f>
        <v>0</v>
      </c>
      <c r="P25" s="61">
        <f t="shared" si="7"/>
        <v>0</v>
      </c>
      <c r="Q25" s="24" cm="1">
        <f t="array" ref="Q25">IFERROR(INDEX(딜러데이터!$C$3:$AAM$52, ROW()-ROW(Q$4)+1, MATCH(Q$3, 딜러데이터!$C$1:$AAM$1, 0)+Q$1), 0)</f>
        <v>0</v>
      </c>
      <c r="R25" s="24" cm="1">
        <f t="array" ref="R25">IFERROR(INDEX(서포터데이터!$C$3:$AAY$52, ROW()-ROW(R$4)+1, MATCH(R$3, 서포터데이터!$C$1:$AAY$1, 0)+R$1), 0)</f>
        <v>0</v>
      </c>
      <c r="S25" s="24" cm="1">
        <f t="array" ref="S25">IFERROR(INDEX(서포터데이터!$C$3:$AAY$52, ROW()-ROW(S$4)+1, MATCH(S$3, 서포터데이터!$C$1:$AAY$1, 0)+S$1), 0)</f>
        <v>0</v>
      </c>
      <c r="T25" s="24" cm="1">
        <f t="array" ref="T25">IFERROR(INDEX(서포터데이터!$C$3:$AAY$52, ROW()-ROW(T$4)+1, MATCH(T$3, 서포터데이터!$C$1:$AAY$1, 0)+T$1), 0)</f>
        <v>0</v>
      </c>
      <c r="U25" s="25" cm="1">
        <f t="array" ref="U25">IFERROR(INDEX(서포터데이터!$C$3:$AAY$52, ROW()-ROW(U$4)+1, MATCH(U$3, 서포터데이터!$C$1:$AAY$1, 0)+U$1), 0)</f>
        <v>0</v>
      </c>
      <c r="V25" s="61">
        <f t="shared" si="8"/>
        <v>0</v>
      </c>
      <c r="W25" s="24" cm="1">
        <f t="array" ref="W25">IFERROR(INDEX(딜러데이터!$C$3:$AAM$52, ROW()-ROW(W$4)+1, MATCH(W$3, 딜러데이터!$C$1:$AAM$1, 0)+W$1), 0)</f>
        <v>0</v>
      </c>
      <c r="X25" s="24" cm="1">
        <f t="array" ref="X25">IFERROR(INDEX(서포터데이터!$C$3:$AAY$52, ROW()-ROW(X$4)+1, MATCH(X$3, 서포터데이터!$C$1:$AAY$1, 0)+X$1), 0)</f>
        <v>0</v>
      </c>
      <c r="Y25" s="24" cm="1">
        <f t="array" ref="Y25">IFERROR(INDEX(서포터데이터!$C$3:$AAY$52, ROW()-ROW(Y$4)+1, MATCH(Y$3, 서포터데이터!$C$1:$AAY$1, 0)+Y$1), 0)</f>
        <v>0</v>
      </c>
      <c r="Z25" s="24" cm="1">
        <f t="array" ref="Z25">IFERROR(INDEX(서포터데이터!$C$3:$AAY$52, ROW()-ROW(Z$4)+1, MATCH(Z$3, 서포터데이터!$C$1:$AAY$1, 0)+Z$1), 0)</f>
        <v>0</v>
      </c>
      <c r="AA25" s="25" cm="1">
        <f t="array" ref="AA25">IFERROR(INDEX(서포터데이터!$C$3:$AAY$52, ROW()-ROW(AA$4)+1, MATCH(AA$3, 서포터데이터!$C$1:$AAY$1, 0)+AA$1), 0)</f>
        <v>0</v>
      </c>
      <c r="AB25" s="61">
        <f t="shared" si="9"/>
        <v>0</v>
      </c>
      <c r="AC25" s="24" cm="1">
        <f t="array" ref="AC25">IFERROR(INDEX(딜러데이터!$C$3:$AAM$52, ROW()-ROW(AC$4)+1, MATCH(AC$3, 딜러데이터!$C$1:$AAM$1, 0)+AC$1), 0)</f>
        <v>0</v>
      </c>
      <c r="AD25" s="24" cm="1">
        <f t="array" ref="AD25">IFERROR(INDEX(서포터데이터!$C$3:$AAY$52, ROW()-ROW(AD$4)+1, MATCH(AD$3, 서포터데이터!$C$1:$AAY$1, 0)+AD$1), 0)</f>
        <v>0</v>
      </c>
      <c r="AE25" s="24" cm="1">
        <f t="array" ref="AE25">IFERROR(INDEX(서포터데이터!$C$3:$AAY$52, ROW()-ROW(AE$4)+1, MATCH(AE$3, 서포터데이터!$C$1:$AAY$1, 0)+AE$1), 0)</f>
        <v>0</v>
      </c>
      <c r="AF25" s="24" cm="1">
        <f t="array" ref="AF25">IFERROR(INDEX(서포터데이터!$C$3:$AAY$52, ROW()-ROW(AF$4)+1, MATCH(AF$3, 서포터데이터!$C$1:$AAY$1, 0)+AF$1), 0)</f>
        <v>0</v>
      </c>
      <c r="AG25" s="25" cm="1">
        <f t="array" ref="AG25">IFERROR(INDEX(서포터데이터!$C$3:$AAY$52, ROW()-ROW(AG$4)+1, MATCH(AG$3, 서포터데이터!$C$1:$AAY$1, 0)+AG$1), 0)</f>
        <v>0</v>
      </c>
      <c r="AH25" s="61">
        <f t="shared" si="10"/>
        <v>0</v>
      </c>
      <c r="AI25" s="24" cm="1">
        <f t="array" ref="AI25">IFERROR(INDEX(딜러데이터!$C$3:$AAM$52, ROW()-ROW(AI$4)+1, MATCH(AI$3, 딜러데이터!$C$1:$AAM$1, 0)+AI$1), 0)</f>
        <v>0</v>
      </c>
      <c r="AJ25" s="24" cm="1">
        <f t="array" ref="AJ25">IFERROR(INDEX(서포터데이터!$C$3:$AAY$52, ROW()-ROW(AJ$4)+1, MATCH(AJ$3, 서포터데이터!$C$1:$AAY$1, 0)+AJ$1), 0)</f>
        <v>0</v>
      </c>
      <c r="AK25" s="24" cm="1">
        <f t="array" ref="AK25">IFERROR(INDEX(서포터데이터!$C$3:$AAY$52, ROW()-ROW(AK$4)+1, MATCH(AK$3, 서포터데이터!$C$1:$AAY$1, 0)+AK$1), 0)</f>
        <v>0</v>
      </c>
      <c r="AL25" s="24" cm="1">
        <f t="array" ref="AL25">IFERROR(INDEX(서포터데이터!$C$3:$AAY$52, ROW()-ROW(AL$4)+1, MATCH(AL$3, 서포터데이터!$C$1:$AAY$1, 0)+AL$1), 0)</f>
        <v>0</v>
      </c>
      <c r="AM25" s="25" cm="1">
        <f t="array" ref="AM25">IFERROR(INDEX(서포터데이터!$C$3:$AAY$52, ROW()-ROW(AM$4)+1, MATCH(AM$3, 서포터데이터!$C$1:$AAY$1, 0)+AM$1), 0)</f>
        <v>0</v>
      </c>
    </row>
    <row r="26" spans="1:39" x14ac:dyDescent="0.45">
      <c r="A26" s="270"/>
      <c r="B26" s="17" t="s">
        <v>279</v>
      </c>
      <c r="C26" s="22"/>
      <c r="D26" s="61">
        <f t="shared" si="12"/>
        <v>0</v>
      </c>
      <c r="E26" s="24" cm="1">
        <f t="array" ref="E26">IFERROR(INDEX(딜러데이터!$C$3:$AAM$52, ROW()-ROW(E$4)+1, MATCH(E$3, 딜러데이터!$C$1:$AAM$1, 0)+E$1), 0)</f>
        <v>0</v>
      </c>
      <c r="F26" s="24" cm="1">
        <f t="array" ref="F26">IFERROR(INDEX(서포터데이터!$C$3:$AAY$52, ROW()-ROW(F$4)+1, MATCH(F$3, 서포터데이터!$C$1:$AAY$1, 0)+F$1), 0)</f>
        <v>0</v>
      </c>
      <c r="G26" s="24" cm="1">
        <f t="array" ref="G26">IFERROR(INDEX(서포터데이터!$C$3:$AAY$52, ROW()-ROW(G$4)+1, MATCH(G$3, 서포터데이터!$C$1:$AAY$1, 0)+G$1), 0)</f>
        <v>0</v>
      </c>
      <c r="H26" s="24" cm="1">
        <f t="array" ref="H26">IFERROR(INDEX(서포터데이터!$C$3:$AAY$52, ROW()-ROW(H$4)+1, MATCH(H$3, 서포터데이터!$C$1:$AAY$1, 0)+H$1), 0)</f>
        <v>0</v>
      </c>
      <c r="I26" s="25" cm="1">
        <f t="array" ref="I26">IFERROR(INDEX(서포터데이터!$C$3:$AAY$52, ROW()-ROW(I$4)+1, MATCH(I$3, 서포터데이터!$C$1:$AAY$1, 0)+I$1), 0)</f>
        <v>0</v>
      </c>
      <c r="J26" s="61">
        <f t="shared" si="11"/>
        <v>0</v>
      </c>
      <c r="K26" s="24" cm="1">
        <f t="array" ref="K26">IFERROR(INDEX(딜러데이터!$C$3:$AAM$52, ROW()-ROW(K$4)+1, MATCH(K$3, 딜러데이터!$C$1:$AAM$1, 0)+K$1), 0)</f>
        <v>0</v>
      </c>
      <c r="L26" s="24" cm="1">
        <f t="array" ref="L26">IFERROR(INDEX(서포터데이터!$C$3:$AAY$52, ROW()-ROW(L$4)+1, MATCH(L$3, 서포터데이터!$C$1:$AAY$1, 0)+L$1), 0)</f>
        <v>0</v>
      </c>
      <c r="M26" s="24" cm="1">
        <f t="array" ref="M26">IFERROR(INDEX(서포터데이터!$C$3:$AAY$52, ROW()-ROW(M$4)+1, MATCH(M$3, 서포터데이터!$C$1:$AAY$1, 0)+M$1), 0)</f>
        <v>0</v>
      </c>
      <c r="N26" s="24" cm="1">
        <f t="array" ref="N26">IFERROR(INDEX(서포터데이터!$C$3:$AAY$52, ROW()-ROW(N$4)+1, MATCH(N$3, 서포터데이터!$C$1:$AAY$1, 0)+N$1), 0)</f>
        <v>0</v>
      </c>
      <c r="O26" s="25" cm="1">
        <f t="array" ref="O26">IFERROR(INDEX(서포터데이터!$C$3:$AAY$52, ROW()-ROW(O$4)+1, MATCH(O$3, 서포터데이터!$C$1:$AAY$1, 0)+O$1), 0)</f>
        <v>0</v>
      </c>
      <c r="P26" s="61">
        <f t="shared" si="7"/>
        <v>0</v>
      </c>
      <c r="Q26" s="24" cm="1">
        <f t="array" ref="Q26">IFERROR(INDEX(딜러데이터!$C$3:$AAM$52, ROW()-ROW(Q$4)+1, MATCH(Q$3, 딜러데이터!$C$1:$AAM$1, 0)+Q$1), 0)</f>
        <v>0</v>
      </c>
      <c r="R26" s="24" cm="1">
        <f t="array" ref="R26">IFERROR(INDEX(서포터데이터!$C$3:$AAY$52, ROW()-ROW(R$4)+1, MATCH(R$3, 서포터데이터!$C$1:$AAY$1, 0)+R$1), 0)</f>
        <v>0</v>
      </c>
      <c r="S26" s="24" cm="1">
        <f t="array" ref="S26">IFERROR(INDEX(서포터데이터!$C$3:$AAY$52, ROW()-ROW(S$4)+1, MATCH(S$3, 서포터데이터!$C$1:$AAY$1, 0)+S$1), 0)</f>
        <v>0</v>
      </c>
      <c r="T26" s="24" cm="1">
        <f t="array" ref="T26">IFERROR(INDEX(서포터데이터!$C$3:$AAY$52, ROW()-ROW(T$4)+1, MATCH(T$3, 서포터데이터!$C$1:$AAY$1, 0)+T$1), 0)</f>
        <v>0</v>
      </c>
      <c r="U26" s="25" cm="1">
        <f t="array" ref="U26">IFERROR(INDEX(서포터데이터!$C$3:$AAY$52, ROW()-ROW(U$4)+1, MATCH(U$3, 서포터데이터!$C$1:$AAY$1, 0)+U$1), 0)</f>
        <v>0</v>
      </c>
      <c r="V26" s="61">
        <f t="shared" si="8"/>
        <v>0</v>
      </c>
      <c r="W26" s="24" cm="1">
        <f t="array" ref="W26">IFERROR(INDEX(딜러데이터!$C$3:$AAM$52, ROW()-ROW(W$4)+1, MATCH(W$3, 딜러데이터!$C$1:$AAM$1, 0)+W$1), 0)</f>
        <v>0</v>
      </c>
      <c r="X26" s="24" cm="1">
        <f t="array" ref="X26">IFERROR(INDEX(서포터데이터!$C$3:$AAY$52, ROW()-ROW(X$4)+1, MATCH(X$3, 서포터데이터!$C$1:$AAY$1, 0)+X$1), 0)</f>
        <v>0</v>
      </c>
      <c r="Y26" s="24" cm="1">
        <f t="array" ref="Y26">IFERROR(INDEX(서포터데이터!$C$3:$AAY$52, ROW()-ROW(Y$4)+1, MATCH(Y$3, 서포터데이터!$C$1:$AAY$1, 0)+Y$1), 0)</f>
        <v>0</v>
      </c>
      <c r="Z26" s="24" cm="1">
        <f t="array" ref="Z26">IFERROR(INDEX(서포터데이터!$C$3:$AAY$52, ROW()-ROW(Z$4)+1, MATCH(Z$3, 서포터데이터!$C$1:$AAY$1, 0)+Z$1), 0)</f>
        <v>0</v>
      </c>
      <c r="AA26" s="25" cm="1">
        <f t="array" ref="AA26">IFERROR(INDEX(서포터데이터!$C$3:$AAY$52, ROW()-ROW(AA$4)+1, MATCH(AA$3, 서포터데이터!$C$1:$AAY$1, 0)+AA$1), 0)</f>
        <v>0</v>
      </c>
      <c r="AB26" s="61">
        <f t="shared" si="9"/>
        <v>0</v>
      </c>
      <c r="AC26" s="24" cm="1">
        <f t="array" ref="AC26">IFERROR(INDEX(딜러데이터!$C$3:$AAM$52, ROW()-ROW(AC$4)+1, MATCH(AC$3, 딜러데이터!$C$1:$AAM$1, 0)+AC$1), 0)</f>
        <v>0</v>
      </c>
      <c r="AD26" s="24" cm="1">
        <f t="array" ref="AD26">IFERROR(INDEX(서포터데이터!$C$3:$AAY$52, ROW()-ROW(AD$4)+1, MATCH(AD$3, 서포터데이터!$C$1:$AAY$1, 0)+AD$1), 0)</f>
        <v>0</v>
      </c>
      <c r="AE26" s="24" cm="1">
        <f t="array" ref="AE26">IFERROR(INDEX(서포터데이터!$C$3:$AAY$52, ROW()-ROW(AE$4)+1, MATCH(AE$3, 서포터데이터!$C$1:$AAY$1, 0)+AE$1), 0)</f>
        <v>0</v>
      </c>
      <c r="AF26" s="24" cm="1">
        <f t="array" ref="AF26">IFERROR(INDEX(서포터데이터!$C$3:$AAY$52, ROW()-ROW(AF$4)+1, MATCH(AF$3, 서포터데이터!$C$1:$AAY$1, 0)+AF$1), 0)</f>
        <v>0</v>
      </c>
      <c r="AG26" s="25" cm="1">
        <f t="array" ref="AG26">IFERROR(INDEX(서포터데이터!$C$3:$AAY$52, ROW()-ROW(AG$4)+1, MATCH(AG$3, 서포터데이터!$C$1:$AAY$1, 0)+AG$1), 0)</f>
        <v>0</v>
      </c>
      <c r="AH26" s="61">
        <f t="shared" si="10"/>
        <v>0</v>
      </c>
      <c r="AI26" s="24" cm="1">
        <f t="array" ref="AI26">IFERROR(INDEX(딜러데이터!$C$3:$AAM$52, ROW()-ROW(AI$4)+1, MATCH(AI$3, 딜러데이터!$C$1:$AAM$1, 0)+AI$1), 0)</f>
        <v>0</v>
      </c>
      <c r="AJ26" s="24" cm="1">
        <f t="array" ref="AJ26">IFERROR(INDEX(서포터데이터!$C$3:$AAY$52, ROW()-ROW(AJ$4)+1, MATCH(AJ$3, 서포터데이터!$C$1:$AAY$1, 0)+AJ$1), 0)</f>
        <v>0</v>
      </c>
      <c r="AK26" s="24" cm="1">
        <f t="array" ref="AK26">IFERROR(INDEX(서포터데이터!$C$3:$AAY$52, ROW()-ROW(AK$4)+1, MATCH(AK$3, 서포터데이터!$C$1:$AAY$1, 0)+AK$1), 0)</f>
        <v>0</v>
      </c>
      <c r="AL26" s="24" cm="1">
        <f t="array" ref="AL26">IFERROR(INDEX(서포터데이터!$C$3:$AAY$52, ROW()-ROW(AL$4)+1, MATCH(AL$3, 서포터데이터!$C$1:$AAY$1, 0)+AL$1), 0)</f>
        <v>0</v>
      </c>
      <c r="AM26" s="25" cm="1">
        <f t="array" ref="AM26">IFERROR(INDEX(서포터데이터!$C$3:$AAY$52, ROW()-ROW(AM$4)+1, MATCH(AM$3, 서포터데이터!$C$1:$AAY$1, 0)+AM$1), 0)</f>
        <v>0</v>
      </c>
    </row>
    <row r="27" spans="1:39" ht="16.5" customHeight="1" x14ac:dyDescent="0.45">
      <c r="A27" s="267" t="s">
        <v>280</v>
      </c>
      <c r="B27" s="21" t="s">
        <v>281</v>
      </c>
      <c r="C27" s="22">
        <f>메인!C23</f>
        <v>0</v>
      </c>
      <c r="D27" s="61">
        <f t="shared" si="12"/>
        <v>0</v>
      </c>
      <c r="E27" s="24" cm="1">
        <f t="array" ref="E27">IFERROR(INDEX(딜러데이터!$C$3:$AAM$52, ROW()-ROW(E$4)+1, MATCH(E$3, 딜러데이터!$C$1:$AAM$1, 0)+E$1), 0)</f>
        <v>0</v>
      </c>
      <c r="F27" s="24" cm="1">
        <f t="array" ref="F27">IFERROR(INDEX(서포터데이터!$C$3:$AAY$52, ROW()-ROW(F$4)+1, MATCH(F$3, 서포터데이터!$C$1:$AAY$1, 0)+F$1), 0)</f>
        <v>0</v>
      </c>
      <c r="G27" s="24" cm="1">
        <f t="array" ref="G27">IFERROR(INDEX(서포터데이터!$C$3:$AAY$52, ROW()-ROW(G$4)+1, MATCH(G$3, 서포터데이터!$C$1:$AAY$1, 0)+G$1), 0)</f>
        <v>0</v>
      </c>
      <c r="H27" s="24" cm="1">
        <f t="array" ref="H27">IFERROR(INDEX(서포터데이터!$C$3:$AAY$52, ROW()-ROW(H$4)+1, MATCH(H$3, 서포터데이터!$C$1:$AAY$1, 0)+H$1), 0)</f>
        <v>0</v>
      </c>
      <c r="I27" s="25" cm="1">
        <f t="array" ref="I27">IFERROR(INDEX(서포터데이터!$C$3:$AAY$52, ROW()-ROW(I$4)+1, MATCH(I$3, 서포터데이터!$C$1:$AAY$1, 0)+I$1), 0)</f>
        <v>0</v>
      </c>
      <c r="J27" s="61">
        <f t="shared" si="11"/>
        <v>0</v>
      </c>
      <c r="K27" s="24" cm="1">
        <f t="array" ref="K27">IFERROR(INDEX(딜러데이터!$C$3:$AAM$52, ROW()-ROW(K$4)+1, MATCH(K$3, 딜러데이터!$C$1:$AAM$1, 0)+K$1), 0)</f>
        <v>0</v>
      </c>
      <c r="L27" s="24" cm="1">
        <f t="array" ref="L27">IFERROR(INDEX(서포터데이터!$C$3:$AAY$52, ROW()-ROW(L$4)+1, MATCH(L$3, 서포터데이터!$C$1:$AAY$1, 0)+L$1), 0)</f>
        <v>0</v>
      </c>
      <c r="M27" s="24" cm="1">
        <f t="array" ref="M27">IFERROR(INDEX(서포터데이터!$C$3:$AAY$52, ROW()-ROW(M$4)+1, MATCH(M$3, 서포터데이터!$C$1:$AAY$1, 0)+M$1), 0)</f>
        <v>0</v>
      </c>
      <c r="N27" s="24" cm="1">
        <f t="array" ref="N27">IFERROR(INDEX(서포터데이터!$C$3:$AAY$52, ROW()-ROW(N$4)+1, MATCH(N$3, 서포터데이터!$C$1:$AAY$1, 0)+N$1), 0)</f>
        <v>0</v>
      </c>
      <c r="O27" s="25" cm="1">
        <f t="array" ref="O27">IFERROR(INDEX(서포터데이터!$C$3:$AAY$52, ROW()-ROW(O$4)+1, MATCH(O$3, 서포터데이터!$C$1:$AAY$1, 0)+O$1), 0)</f>
        <v>0</v>
      </c>
      <c r="P27" s="61">
        <f t="shared" si="7"/>
        <v>0</v>
      </c>
      <c r="Q27" s="24" cm="1">
        <f t="array" ref="Q27">IFERROR(INDEX(딜러데이터!$C$3:$AAM$52, ROW()-ROW(Q$4)+1, MATCH(Q$3, 딜러데이터!$C$1:$AAM$1, 0)+Q$1), 0)</f>
        <v>0</v>
      </c>
      <c r="R27" s="24" cm="1">
        <f t="array" ref="R27">IFERROR(INDEX(서포터데이터!$C$3:$AAY$52, ROW()-ROW(R$4)+1, MATCH(R$3, 서포터데이터!$C$1:$AAY$1, 0)+R$1), 0)</f>
        <v>0</v>
      </c>
      <c r="S27" s="24" cm="1">
        <f t="array" ref="S27">IFERROR(INDEX(서포터데이터!$C$3:$AAY$52, ROW()-ROW(S$4)+1, MATCH(S$3, 서포터데이터!$C$1:$AAY$1, 0)+S$1), 0)</f>
        <v>0</v>
      </c>
      <c r="T27" s="24" cm="1">
        <f t="array" ref="T27">IFERROR(INDEX(서포터데이터!$C$3:$AAY$52, ROW()-ROW(T$4)+1, MATCH(T$3, 서포터데이터!$C$1:$AAY$1, 0)+T$1), 0)</f>
        <v>0</v>
      </c>
      <c r="U27" s="25" cm="1">
        <f t="array" ref="U27">IFERROR(INDEX(서포터데이터!$C$3:$AAY$52, ROW()-ROW(U$4)+1, MATCH(U$3, 서포터데이터!$C$1:$AAY$1, 0)+U$1), 0)</f>
        <v>0</v>
      </c>
      <c r="V27" s="61">
        <f t="shared" si="8"/>
        <v>0</v>
      </c>
      <c r="W27" s="24" cm="1">
        <f t="array" ref="W27">IFERROR(INDEX(딜러데이터!$C$3:$AAM$52, ROW()-ROW(W$4)+1, MATCH(W$3, 딜러데이터!$C$1:$AAM$1, 0)+W$1), 0)</f>
        <v>0</v>
      </c>
      <c r="X27" s="24" cm="1">
        <f t="array" ref="X27">IFERROR(INDEX(서포터데이터!$C$3:$AAY$52, ROW()-ROW(X$4)+1, MATCH(X$3, 서포터데이터!$C$1:$AAY$1, 0)+X$1), 0)</f>
        <v>0</v>
      </c>
      <c r="Y27" s="24" cm="1">
        <f t="array" ref="Y27">IFERROR(INDEX(서포터데이터!$C$3:$AAY$52, ROW()-ROW(Y$4)+1, MATCH(Y$3, 서포터데이터!$C$1:$AAY$1, 0)+Y$1), 0)</f>
        <v>0</v>
      </c>
      <c r="Z27" s="24" cm="1">
        <f t="array" ref="Z27">IFERROR(INDEX(서포터데이터!$C$3:$AAY$52, ROW()-ROW(Z$4)+1, MATCH(Z$3, 서포터데이터!$C$1:$AAY$1, 0)+Z$1), 0)</f>
        <v>0</v>
      </c>
      <c r="AA27" s="25" cm="1">
        <f t="array" ref="AA27">IFERROR(INDEX(서포터데이터!$C$3:$AAY$52, ROW()-ROW(AA$4)+1, MATCH(AA$3, 서포터데이터!$C$1:$AAY$1, 0)+AA$1), 0)</f>
        <v>0</v>
      </c>
      <c r="AB27" s="61">
        <f t="shared" si="9"/>
        <v>1.3661202185792349</v>
      </c>
      <c r="AC27" s="24" cm="1">
        <f t="array" ref="AC27">IFERROR(INDEX(딜러데이터!$C$3:$AAM$52, ROW()-ROW(AC$4)+1, MATCH(AC$3, 딜러데이터!$C$1:$AAM$1, 0)+AC$1), 0)</f>
        <v>0</v>
      </c>
      <c r="AD27" s="24" cm="1">
        <f t="array" ref="AD27">IFERROR(INDEX(서포터데이터!$C$3:$AAY$52, ROW()-ROW(AD$4)+1, MATCH(AD$3, 서포터데이터!$C$1:$AAY$1, 0)+AD$1), 0)</f>
        <v>0</v>
      </c>
      <c r="AE27" s="24" cm="1">
        <f t="array" ref="AE27">IFERROR(INDEX(서포터데이터!$C$3:$AAY$52, ROW()-ROW(AE$4)+1, MATCH(AE$3, 서포터데이터!$C$1:$AAY$1, 0)+AE$1), 0)</f>
        <v>1.3661202185792349</v>
      </c>
      <c r="AF27" s="24" cm="1">
        <f t="array" ref="AF27">IFERROR(INDEX(서포터데이터!$C$3:$AAY$52, ROW()-ROW(AF$4)+1, MATCH(AF$3, 서포터데이터!$C$1:$AAY$1, 0)+AF$1), 0)</f>
        <v>0</v>
      </c>
      <c r="AG27" s="25" cm="1">
        <f t="array" ref="AG27">IFERROR(INDEX(서포터데이터!$C$3:$AAY$52, ROW()-ROW(AG$4)+1, MATCH(AG$3, 서포터데이터!$C$1:$AAY$1, 0)+AG$1), 0)</f>
        <v>0</v>
      </c>
      <c r="AH27" s="61">
        <f t="shared" si="10"/>
        <v>0</v>
      </c>
      <c r="AI27" s="24" cm="1">
        <f t="array" ref="AI27">IFERROR(INDEX(딜러데이터!$C$3:$AAM$52, ROW()-ROW(AI$4)+1, MATCH(AI$3, 딜러데이터!$C$1:$AAM$1, 0)+AI$1), 0)</f>
        <v>0</v>
      </c>
      <c r="AJ27" s="24" cm="1">
        <f t="array" ref="AJ27">IFERROR(INDEX(서포터데이터!$C$3:$AAY$52, ROW()-ROW(AJ$4)+1, MATCH(AJ$3, 서포터데이터!$C$1:$AAY$1, 0)+AJ$1), 0)</f>
        <v>0</v>
      </c>
      <c r="AK27" s="24" cm="1">
        <f t="array" ref="AK27">IFERROR(INDEX(서포터데이터!$C$3:$AAY$52, ROW()-ROW(AK$4)+1, MATCH(AK$3, 서포터데이터!$C$1:$AAY$1, 0)+AK$1), 0)</f>
        <v>0</v>
      </c>
      <c r="AL27" s="24" cm="1">
        <f t="array" ref="AL27">IFERROR(INDEX(서포터데이터!$C$3:$AAY$52, ROW()-ROW(AL$4)+1, MATCH(AL$3, 서포터데이터!$C$1:$AAY$1, 0)+AL$1), 0)</f>
        <v>0</v>
      </c>
      <c r="AM27" s="25" cm="1">
        <f t="array" ref="AM27">IFERROR(INDEX(서포터데이터!$C$3:$AAY$52, ROW()-ROW(AM$4)+1, MATCH(AM$3, 서포터데이터!$C$1:$AAY$1, 0)+AM$1), 0)</f>
        <v>0</v>
      </c>
    </row>
    <row r="28" spans="1:39" s="54" customFormat="1" ht="16" customHeight="1" x14ac:dyDescent="0.45">
      <c r="A28" s="267"/>
      <c r="B28" s="17" t="s">
        <v>282</v>
      </c>
      <c r="C28" s="55"/>
      <c r="D28" s="62">
        <f t="shared" si="12"/>
        <v>0</v>
      </c>
      <c r="E28" s="24" cm="1">
        <f t="array" ref="E28">IFERROR(INDEX(딜러데이터!$C$3:$AAM$52, ROW()-ROW(E$4)+1, MATCH(E$3, 딜러데이터!$C$1:$AAM$1, 0)+E$1), 0)</f>
        <v>0</v>
      </c>
      <c r="F28" s="56" cm="1">
        <f t="array" ref="F28">IFERROR(INDEX(서포터데이터!$C$3:$AAY$52, ROW()-ROW(F$4)+1, MATCH(F$3, 서포터데이터!$C$1:$AAY$1, 0)+F$1), 0)</f>
        <v>0</v>
      </c>
      <c r="G28" s="56" cm="1">
        <f t="array" ref="G28">IFERROR(INDEX(서포터데이터!$C$3:$AAY$52, ROW()-ROW(G$4)+1, MATCH(G$3, 서포터데이터!$C$1:$AAY$1, 0)+G$1), 0)</f>
        <v>0</v>
      </c>
      <c r="H28" s="56" cm="1">
        <f t="array" ref="H28">IFERROR(INDEX(서포터데이터!$C$3:$AAY$52, ROW()-ROW(H$4)+1, MATCH(H$3, 서포터데이터!$C$1:$AAY$1, 0)+H$1), 0)</f>
        <v>0</v>
      </c>
      <c r="I28" s="57" cm="1">
        <f t="array" ref="I28">IFERROR(INDEX(서포터데이터!$C$3:$AAY$52, ROW()-ROW(I$4)+1, MATCH(I$3, 서포터데이터!$C$1:$AAY$1, 0)+I$1), 0)</f>
        <v>0</v>
      </c>
      <c r="J28" s="62">
        <f t="shared" si="11"/>
        <v>0</v>
      </c>
      <c r="K28" s="24" cm="1">
        <f t="array" ref="K28">IFERROR(INDEX(딜러데이터!$C$3:$AAM$52, ROW()-ROW(K$4)+1, MATCH(K$3, 딜러데이터!$C$1:$AAM$1, 0)+K$1), 0)</f>
        <v>0</v>
      </c>
      <c r="L28" s="56" cm="1">
        <f t="array" ref="L28">IFERROR(INDEX(서포터데이터!$C$3:$AAY$52, ROW()-ROW(L$4)+1, MATCH(L$3, 서포터데이터!$C$1:$AAY$1, 0)+L$1), 0)</f>
        <v>0</v>
      </c>
      <c r="M28" s="56" cm="1">
        <f t="array" ref="M28">IFERROR(INDEX(서포터데이터!$C$3:$AAY$52, ROW()-ROW(M$4)+1, MATCH(M$3, 서포터데이터!$C$1:$AAY$1, 0)+M$1), 0)</f>
        <v>0</v>
      </c>
      <c r="N28" s="56" cm="1">
        <f t="array" ref="N28">IFERROR(INDEX(서포터데이터!$C$3:$AAY$52, ROW()-ROW(N$4)+1, MATCH(N$3, 서포터데이터!$C$1:$AAY$1, 0)+N$1), 0)</f>
        <v>0</v>
      </c>
      <c r="O28" s="57" cm="1">
        <f t="array" ref="O28">IFERROR(INDEX(서포터데이터!$C$3:$AAY$52, ROW()-ROW(O$4)+1, MATCH(O$3, 서포터데이터!$C$1:$AAY$1, 0)+O$1), 0)</f>
        <v>0</v>
      </c>
      <c r="P28" s="62">
        <f t="shared" si="7"/>
        <v>0</v>
      </c>
      <c r="Q28" s="24" cm="1">
        <f t="array" ref="Q28">IFERROR(INDEX(딜러데이터!$C$3:$AAM$52, ROW()-ROW(Q$4)+1, MATCH(Q$3, 딜러데이터!$C$1:$AAM$1, 0)+Q$1), 0)</f>
        <v>0</v>
      </c>
      <c r="R28" s="56" cm="1">
        <f t="array" ref="R28">IFERROR(INDEX(서포터데이터!$C$3:$AAY$52, ROW()-ROW(R$4)+1, MATCH(R$3, 서포터데이터!$C$1:$AAY$1, 0)+R$1), 0)</f>
        <v>0</v>
      </c>
      <c r="S28" s="56" cm="1">
        <f t="array" ref="S28">IFERROR(INDEX(서포터데이터!$C$3:$AAY$52, ROW()-ROW(S$4)+1, MATCH(S$3, 서포터데이터!$C$1:$AAY$1, 0)+S$1), 0)</f>
        <v>0</v>
      </c>
      <c r="T28" s="56" cm="1">
        <f t="array" ref="T28">IFERROR(INDEX(서포터데이터!$C$3:$AAY$52, ROW()-ROW(T$4)+1, MATCH(T$3, 서포터데이터!$C$1:$AAY$1, 0)+T$1), 0)</f>
        <v>0</v>
      </c>
      <c r="U28" s="57" cm="1">
        <f t="array" ref="U28">IFERROR(INDEX(서포터데이터!$C$3:$AAY$52, ROW()-ROW(U$4)+1, MATCH(U$3, 서포터데이터!$C$1:$AAY$1, 0)+U$1), 0)</f>
        <v>0</v>
      </c>
      <c r="V28" s="62">
        <f t="shared" si="8"/>
        <v>0</v>
      </c>
      <c r="W28" s="24" cm="1">
        <f t="array" ref="W28">IFERROR(INDEX(딜러데이터!$C$3:$AAM$52, ROW()-ROW(W$4)+1, MATCH(W$3, 딜러데이터!$C$1:$AAM$1, 0)+W$1), 0)</f>
        <v>0</v>
      </c>
      <c r="X28" s="56" cm="1">
        <f t="array" ref="X28">IFERROR(INDEX(서포터데이터!$C$3:$AAY$52, ROW()-ROW(X$4)+1, MATCH(X$3, 서포터데이터!$C$1:$AAY$1, 0)+X$1), 0)</f>
        <v>0</v>
      </c>
      <c r="Y28" s="56" cm="1">
        <f t="array" ref="Y28">IFERROR(INDEX(서포터데이터!$C$3:$AAY$52, ROW()-ROW(Y$4)+1, MATCH(Y$3, 서포터데이터!$C$1:$AAY$1, 0)+Y$1), 0)</f>
        <v>0</v>
      </c>
      <c r="Z28" s="56" cm="1">
        <f t="array" ref="Z28">IFERROR(INDEX(서포터데이터!$C$3:$AAY$52, ROW()-ROW(Z$4)+1, MATCH(Z$3, 서포터데이터!$C$1:$AAY$1, 0)+Z$1), 0)</f>
        <v>0</v>
      </c>
      <c r="AA28" s="57" cm="1">
        <f t="array" ref="AA28">IFERROR(INDEX(서포터데이터!$C$3:$AAY$52, ROW()-ROW(AA$4)+1, MATCH(AA$3, 서포터데이터!$C$1:$AAY$1, 0)+AA$1), 0)</f>
        <v>0</v>
      </c>
      <c r="AB28" s="62">
        <f t="shared" si="9"/>
        <v>0</v>
      </c>
      <c r="AC28" s="24" cm="1">
        <f t="array" ref="AC28">IFERROR(INDEX(딜러데이터!$C$3:$AAM$52, ROW()-ROW(AC$4)+1, MATCH(AC$3, 딜러데이터!$C$1:$AAM$1, 0)+AC$1), 0)</f>
        <v>0</v>
      </c>
      <c r="AD28" s="56" cm="1">
        <f t="array" ref="AD28">IFERROR(INDEX(서포터데이터!$C$3:$AAY$52, ROW()-ROW(AD$4)+1, MATCH(AD$3, 서포터데이터!$C$1:$AAY$1, 0)+AD$1), 0)</f>
        <v>0</v>
      </c>
      <c r="AE28" s="56" cm="1">
        <f t="array" ref="AE28">IFERROR(INDEX(서포터데이터!$C$3:$AAY$52, ROW()-ROW(AE$4)+1, MATCH(AE$3, 서포터데이터!$C$1:$AAY$1, 0)+AE$1), 0)</f>
        <v>0</v>
      </c>
      <c r="AF28" s="56" cm="1">
        <f t="array" ref="AF28">IFERROR(INDEX(서포터데이터!$C$3:$AAY$52, ROW()-ROW(AF$4)+1, MATCH(AF$3, 서포터데이터!$C$1:$AAY$1, 0)+AF$1), 0)</f>
        <v>0</v>
      </c>
      <c r="AG28" s="57" cm="1">
        <f t="array" ref="AG28">IFERROR(INDEX(서포터데이터!$C$3:$AAY$52, ROW()-ROW(AG$4)+1, MATCH(AG$3, 서포터데이터!$C$1:$AAY$1, 0)+AG$1), 0)</f>
        <v>0</v>
      </c>
      <c r="AH28" s="62">
        <f t="shared" si="10"/>
        <v>0</v>
      </c>
      <c r="AI28" s="24" cm="1">
        <f t="array" ref="AI28">IFERROR(INDEX(딜러데이터!$C$3:$AAM$52, ROW()-ROW(AI$4)+1, MATCH(AI$3, 딜러데이터!$C$1:$AAM$1, 0)+AI$1), 0)</f>
        <v>0</v>
      </c>
      <c r="AJ28" s="56" cm="1">
        <f t="array" ref="AJ28">IFERROR(INDEX(서포터데이터!$C$3:$AAY$52, ROW()-ROW(AJ$4)+1, MATCH(AJ$3, 서포터데이터!$C$1:$AAY$1, 0)+AJ$1), 0)</f>
        <v>0</v>
      </c>
      <c r="AK28" s="56" cm="1">
        <f t="array" ref="AK28">IFERROR(INDEX(서포터데이터!$C$3:$AAY$52, ROW()-ROW(AK$4)+1, MATCH(AK$3, 서포터데이터!$C$1:$AAY$1, 0)+AK$1), 0)</f>
        <v>0</v>
      </c>
      <c r="AL28" s="56" cm="1">
        <f t="array" ref="AL28">IFERROR(INDEX(서포터데이터!$C$3:$AAY$52, ROW()-ROW(AL$4)+1, MATCH(AL$3, 서포터데이터!$C$1:$AAY$1, 0)+AL$1), 0)</f>
        <v>0</v>
      </c>
      <c r="AM28" s="57" cm="1">
        <f t="array" ref="AM28">IFERROR(INDEX(서포터데이터!$C$3:$AAY$52, ROW()-ROW(AM$4)+1, MATCH(AM$3, 서포터데이터!$C$1:$AAY$1, 0)+AM$1), 0)</f>
        <v>0</v>
      </c>
    </row>
    <row r="29" spans="1:39" x14ac:dyDescent="0.45">
      <c r="A29" s="267"/>
      <c r="B29" s="17" t="s">
        <v>227</v>
      </c>
      <c r="C29" s="22">
        <f>메인!C24</f>
        <v>0</v>
      </c>
      <c r="D29" s="61">
        <f t="shared" si="12"/>
        <v>1</v>
      </c>
      <c r="E29" s="24" cm="1">
        <f t="array" ref="E29">IFERROR(INDEX(딜러데이터!$C$3:$AAM$52, ROW()-ROW(E$4)+1, MATCH(E$3, 딜러데이터!$C$1:$AAM$1, 0)+E$1), 0)</f>
        <v>1</v>
      </c>
      <c r="F29" s="24" cm="1">
        <f t="array" ref="F29">IFERROR(INDEX(서포터데이터!$C$3:$AAY$52, ROW()-ROW(F$4)+1, MATCH(F$3, 서포터데이터!$C$1:$AAY$1, 0)+F$1), 0)</f>
        <v>0</v>
      </c>
      <c r="G29" s="24" cm="1">
        <f t="array" ref="G29">IFERROR(INDEX(서포터데이터!$C$3:$AAY$52, ROW()-ROW(G$4)+1, MATCH(G$3, 서포터데이터!$C$1:$AAY$1, 0)+G$1), 0)</f>
        <v>0</v>
      </c>
      <c r="H29" s="24" cm="1">
        <f t="array" ref="H29">IFERROR(INDEX(서포터데이터!$C$3:$AAY$52, ROW()-ROW(H$4)+1, MATCH(H$3, 서포터데이터!$C$1:$AAY$1, 0)+H$1), 0)</f>
        <v>0</v>
      </c>
      <c r="I29" s="25" cm="1">
        <f t="array" ref="I29">IFERROR(INDEX(서포터데이터!$C$3:$AAY$52, ROW()-ROW(I$4)+1, MATCH(I$3, 서포터데이터!$C$1:$AAY$1, 0)+I$1), 0)</f>
        <v>0</v>
      </c>
      <c r="J29" s="61">
        <f t="shared" si="11"/>
        <v>1</v>
      </c>
      <c r="K29" s="24" cm="1">
        <f t="array" ref="K29">IFERROR(INDEX(딜러데이터!$C$3:$AAM$52, ROW()-ROW(K$4)+1, MATCH(K$3, 딜러데이터!$C$1:$AAM$1, 0)+K$1), 0)</f>
        <v>1</v>
      </c>
      <c r="L29" s="24" cm="1">
        <f t="array" ref="L29">IFERROR(INDEX(서포터데이터!$C$3:$AAY$52, ROW()-ROW(L$4)+1, MATCH(L$3, 서포터데이터!$C$1:$AAY$1, 0)+L$1), 0)</f>
        <v>0</v>
      </c>
      <c r="M29" s="24" cm="1">
        <f t="array" ref="M29">IFERROR(INDEX(서포터데이터!$C$3:$AAY$52, ROW()-ROW(M$4)+1, MATCH(M$3, 서포터데이터!$C$1:$AAY$1, 0)+M$1), 0)</f>
        <v>0</v>
      </c>
      <c r="N29" s="24" cm="1">
        <f t="array" ref="N29">IFERROR(INDEX(서포터데이터!$C$3:$AAY$52, ROW()-ROW(N$4)+1, MATCH(N$3, 서포터데이터!$C$1:$AAY$1, 0)+N$1), 0)</f>
        <v>0</v>
      </c>
      <c r="O29" s="25" cm="1">
        <f t="array" ref="O29">IFERROR(INDEX(서포터데이터!$C$3:$AAY$52, ROW()-ROW(O$4)+1, MATCH(O$3, 서포터데이터!$C$1:$AAY$1, 0)+O$1), 0)</f>
        <v>0</v>
      </c>
      <c r="P29" s="61">
        <f t="shared" si="7"/>
        <v>1</v>
      </c>
      <c r="Q29" s="24" cm="1">
        <f t="array" ref="Q29">IFERROR(INDEX(딜러데이터!$C$3:$AAM$52, ROW()-ROW(Q$4)+1, MATCH(Q$3, 딜러데이터!$C$1:$AAM$1, 0)+Q$1), 0)</f>
        <v>1</v>
      </c>
      <c r="R29" s="24" cm="1">
        <f t="array" ref="R29">IFERROR(INDEX(서포터데이터!$C$3:$AAY$52, ROW()-ROW(R$4)+1, MATCH(R$3, 서포터데이터!$C$1:$AAY$1, 0)+R$1), 0)</f>
        <v>0</v>
      </c>
      <c r="S29" s="24" cm="1">
        <f t="array" ref="S29">IFERROR(INDEX(서포터데이터!$C$3:$AAY$52, ROW()-ROW(S$4)+1, MATCH(S$3, 서포터데이터!$C$1:$AAY$1, 0)+S$1), 0)</f>
        <v>0</v>
      </c>
      <c r="T29" s="24" cm="1">
        <f t="array" ref="T29">IFERROR(INDEX(서포터데이터!$C$3:$AAY$52, ROW()-ROW(T$4)+1, MATCH(T$3, 서포터데이터!$C$1:$AAY$1, 0)+T$1), 0)</f>
        <v>0</v>
      </c>
      <c r="U29" s="25" cm="1">
        <f t="array" ref="U29">IFERROR(INDEX(서포터데이터!$C$3:$AAY$52, ROW()-ROW(U$4)+1, MATCH(U$3, 서포터데이터!$C$1:$AAY$1, 0)+U$1), 0)</f>
        <v>0</v>
      </c>
      <c r="V29" s="61">
        <f t="shared" si="8"/>
        <v>1</v>
      </c>
      <c r="W29" s="24" cm="1">
        <f t="array" ref="W29">IFERROR(INDEX(딜러데이터!$C$3:$AAM$52, ROW()-ROW(W$4)+1, MATCH(W$3, 딜러데이터!$C$1:$AAM$1, 0)+W$1), 0)</f>
        <v>1</v>
      </c>
      <c r="X29" s="24" cm="1">
        <f t="array" ref="X29">IFERROR(INDEX(서포터데이터!$C$3:$AAY$52, ROW()-ROW(X$4)+1, MATCH(X$3, 서포터데이터!$C$1:$AAY$1, 0)+X$1), 0)</f>
        <v>0</v>
      </c>
      <c r="Y29" s="24" cm="1">
        <f t="array" ref="Y29">IFERROR(INDEX(서포터데이터!$C$3:$AAY$52, ROW()-ROW(Y$4)+1, MATCH(Y$3, 서포터데이터!$C$1:$AAY$1, 0)+Y$1), 0)</f>
        <v>0</v>
      </c>
      <c r="Z29" s="24" cm="1">
        <f t="array" ref="Z29">IFERROR(INDEX(서포터데이터!$C$3:$AAY$52, ROW()-ROW(Z$4)+1, MATCH(Z$3, 서포터데이터!$C$1:$AAY$1, 0)+Z$1), 0)</f>
        <v>0</v>
      </c>
      <c r="AA29" s="25" cm="1">
        <f t="array" ref="AA29">IFERROR(INDEX(서포터데이터!$C$3:$AAY$52, ROW()-ROW(AA$4)+1, MATCH(AA$3, 서포터데이터!$C$1:$AAY$1, 0)+AA$1), 0)</f>
        <v>0</v>
      </c>
      <c r="AB29" s="61">
        <f t="shared" si="9"/>
        <v>1</v>
      </c>
      <c r="AC29" s="24" cm="1">
        <f t="array" ref="AC29">IFERROR(INDEX(딜러데이터!$C$3:$AAM$52, ROW()-ROW(AC$4)+1, MATCH(AC$3, 딜러데이터!$C$1:$AAM$1, 0)+AC$1), 0)</f>
        <v>1</v>
      </c>
      <c r="AD29" s="24" cm="1">
        <f t="array" ref="AD29">IFERROR(INDEX(서포터데이터!$C$3:$AAY$52, ROW()-ROW(AD$4)+1, MATCH(AD$3, 서포터데이터!$C$1:$AAY$1, 0)+AD$1), 0)</f>
        <v>0</v>
      </c>
      <c r="AE29" s="24" cm="1">
        <f t="array" ref="AE29">IFERROR(INDEX(서포터데이터!$C$3:$AAY$52, ROW()-ROW(AE$4)+1, MATCH(AE$3, 서포터데이터!$C$1:$AAY$1, 0)+AE$1), 0)</f>
        <v>0</v>
      </c>
      <c r="AF29" s="24" cm="1">
        <f t="array" ref="AF29">IFERROR(INDEX(서포터데이터!$C$3:$AAY$52, ROW()-ROW(AF$4)+1, MATCH(AF$3, 서포터데이터!$C$1:$AAY$1, 0)+AF$1), 0)</f>
        <v>0</v>
      </c>
      <c r="AG29" s="25" cm="1">
        <f t="array" ref="AG29">IFERROR(INDEX(서포터데이터!$C$3:$AAY$52, ROW()-ROW(AG$4)+1, MATCH(AG$3, 서포터데이터!$C$1:$AAY$1, 0)+AG$1), 0)</f>
        <v>0</v>
      </c>
      <c r="AH29" s="61">
        <f t="shared" si="10"/>
        <v>1</v>
      </c>
      <c r="AI29" s="24" cm="1">
        <f t="array" ref="AI29">IFERROR(INDEX(딜러데이터!$C$3:$AAM$52, ROW()-ROW(AI$4)+1, MATCH(AI$3, 딜러데이터!$C$1:$AAM$1, 0)+AI$1), 0)</f>
        <v>1</v>
      </c>
      <c r="AJ29" s="24" cm="1">
        <f t="array" ref="AJ29">IFERROR(INDEX(서포터데이터!$C$3:$AAY$52, ROW()-ROW(AJ$4)+1, MATCH(AJ$3, 서포터데이터!$C$1:$AAY$1, 0)+AJ$1), 0)</f>
        <v>0</v>
      </c>
      <c r="AK29" s="24" cm="1">
        <f t="array" ref="AK29">IFERROR(INDEX(서포터데이터!$C$3:$AAY$52, ROW()-ROW(AK$4)+1, MATCH(AK$3, 서포터데이터!$C$1:$AAY$1, 0)+AK$1), 0)</f>
        <v>0</v>
      </c>
      <c r="AL29" s="24" cm="1">
        <f t="array" ref="AL29">IFERROR(INDEX(서포터데이터!$C$3:$AAY$52, ROW()-ROW(AL$4)+1, MATCH(AL$3, 서포터데이터!$C$1:$AAY$1, 0)+AL$1), 0)</f>
        <v>0</v>
      </c>
      <c r="AM29" s="25" cm="1">
        <f t="array" ref="AM29">IFERROR(INDEX(서포터데이터!$C$3:$AAY$52, ROW()-ROW(AM$4)+1, MATCH(AM$3, 서포터데이터!$C$1:$AAY$1, 0)+AM$1), 0)</f>
        <v>0</v>
      </c>
    </row>
    <row r="30" spans="1:39" x14ac:dyDescent="0.45">
      <c r="A30" s="267" t="s">
        <v>283</v>
      </c>
      <c r="B30" s="21" t="s">
        <v>284</v>
      </c>
      <c r="C30" s="22">
        <f>메인!C18+19.09%</f>
        <v>0.9909</v>
      </c>
      <c r="D30" s="61">
        <f t="shared" si="12"/>
        <v>0.9909</v>
      </c>
      <c r="E30" s="24" cm="1">
        <f t="array" ref="E30">IFERROR(INDEX(딜러데이터!$C$3:$AAM$52, ROW()-ROW(E$4)+1, MATCH(E$3, 딜러데이터!$C$1:$AAM$1, 0)+E$1), 0)</f>
        <v>0</v>
      </c>
      <c r="F30" s="24" cm="1">
        <f t="array" ref="F30">IFERROR(INDEX(서포터데이터!$C$3:$AAY$52, ROW()-ROW(F$4)+1, MATCH(F$3, 서포터데이터!$C$1:$AAY$1, 0)+F$1), 0)</f>
        <v>0</v>
      </c>
      <c r="G30" s="24" cm="1">
        <f t="array" ref="G30">IFERROR(INDEX(서포터데이터!$C$3:$AAY$52, ROW()-ROW(G$4)+1, MATCH(G$3, 서포터데이터!$C$1:$AAY$1, 0)+G$1), 0)</f>
        <v>0</v>
      </c>
      <c r="H30" s="24" cm="1">
        <f t="array" ref="H30">IFERROR(INDEX(서포터데이터!$C$3:$AAY$52, ROW()-ROW(H$4)+1, MATCH(H$3, 서포터데이터!$C$1:$AAY$1, 0)+H$1), 0)</f>
        <v>0</v>
      </c>
      <c r="I30" s="25" cm="1">
        <f t="array" ref="I30">IFERROR(INDEX(서포터데이터!$C$3:$AAY$52, ROW()-ROW(I$4)+1, MATCH(I$3, 서포터데이터!$C$1:$AAY$1, 0)+I$1), 0)</f>
        <v>0</v>
      </c>
      <c r="J30" s="61">
        <f t="shared" si="11"/>
        <v>0.9909</v>
      </c>
      <c r="K30" s="24" cm="1">
        <f t="array" ref="K30">IFERROR(INDEX(딜러데이터!$C$3:$AAM$52, ROW()-ROW(K$4)+1, MATCH(K$3, 딜러데이터!$C$1:$AAM$1, 0)+K$1), 0)</f>
        <v>0</v>
      </c>
      <c r="L30" s="24" cm="1">
        <f t="array" ref="L30">IFERROR(INDEX(서포터데이터!$C$3:$AAY$52, ROW()-ROW(L$4)+1, MATCH(L$3, 서포터데이터!$C$1:$AAY$1, 0)+L$1), 0)</f>
        <v>0</v>
      </c>
      <c r="M30" s="24" cm="1">
        <f t="array" ref="M30">IFERROR(INDEX(서포터데이터!$C$3:$AAY$52, ROW()-ROW(M$4)+1, MATCH(M$3, 서포터데이터!$C$1:$AAY$1, 0)+M$1), 0)</f>
        <v>0</v>
      </c>
      <c r="N30" s="24" cm="1">
        <f t="array" ref="N30">IFERROR(INDEX(서포터데이터!$C$3:$AAY$52, ROW()-ROW(N$4)+1, MATCH(N$3, 서포터데이터!$C$1:$AAY$1, 0)+N$1), 0)</f>
        <v>0</v>
      </c>
      <c r="O30" s="25" cm="1">
        <f t="array" ref="O30">IFERROR(INDEX(서포터데이터!$C$3:$AAY$52, ROW()-ROW(O$4)+1, MATCH(O$3, 서포터데이터!$C$1:$AAY$1, 0)+O$1), 0)</f>
        <v>0</v>
      </c>
      <c r="P30" s="61">
        <f t="shared" si="7"/>
        <v>0.9909</v>
      </c>
      <c r="Q30" s="24" cm="1">
        <f t="array" ref="Q30">IFERROR(INDEX(딜러데이터!$C$3:$AAM$52, ROW()-ROW(Q$4)+1, MATCH(Q$3, 딜러데이터!$C$1:$AAM$1, 0)+Q$1), 0)</f>
        <v>0</v>
      </c>
      <c r="R30" s="24" cm="1">
        <f t="array" ref="R30">IFERROR(INDEX(서포터데이터!$C$3:$AAY$52, ROW()-ROW(R$4)+1, MATCH(R$3, 서포터데이터!$C$1:$AAY$1, 0)+R$1), 0)</f>
        <v>0</v>
      </c>
      <c r="S30" s="24" cm="1">
        <f t="array" ref="S30">IFERROR(INDEX(서포터데이터!$C$3:$AAY$52, ROW()-ROW(S$4)+1, MATCH(S$3, 서포터데이터!$C$1:$AAY$1, 0)+S$1), 0)</f>
        <v>0</v>
      </c>
      <c r="T30" s="24" cm="1">
        <f t="array" ref="T30">IFERROR(INDEX(서포터데이터!$C$3:$AAY$52, ROW()-ROW(T$4)+1, MATCH(T$3, 서포터데이터!$C$1:$AAY$1, 0)+T$1), 0)</f>
        <v>0</v>
      </c>
      <c r="U30" s="25" cm="1">
        <f t="array" ref="U30">IFERROR(INDEX(서포터데이터!$C$3:$AAY$52, ROW()-ROW(U$4)+1, MATCH(U$3, 서포터데이터!$C$1:$AAY$1, 0)+U$1), 0)</f>
        <v>0</v>
      </c>
      <c r="V30" s="61">
        <f t="shared" si="8"/>
        <v>0.9909</v>
      </c>
      <c r="W30" s="24" cm="1">
        <f t="array" ref="W30">IFERROR(INDEX(딜러데이터!$C$3:$AAM$52, ROW()-ROW(W$4)+1, MATCH(W$3, 딜러데이터!$C$1:$AAM$1, 0)+W$1), 0)</f>
        <v>0</v>
      </c>
      <c r="X30" s="24" cm="1">
        <f t="array" ref="X30">IFERROR(INDEX(서포터데이터!$C$3:$AAY$52, ROW()-ROW(X$4)+1, MATCH(X$3, 서포터데이터!$C$1:$AAY$1, 0)+X$1), 0)</f>
        <v>0</v>
      </c>
      <c r="Y30" s="24" cm="1">
        <f t="array" ref="Y30">IFERROR(INDEX(서포터데이터!$C$3:$AAY$52, ROW()-ROW(Y$4)+1, MATCH(Y$3, 서포터데이터!$C$1:$AAY$1, 0)+Y$1), 0)</f>
        <v>0</v>
      </c>
      <c r="Z30" s="24" cm="1">
        <f t="array" ref="Z30">IFERROR(INDEX(서포터데이터!$C$3:$AAY$52, ROW()-ROW(Z$4)+1, MATCH(Z$3, 서포터데이터!$C$1:$AAY$1, 0)+Z$1), 0)</f>
        <v>0</v>
      </c>
      <c r="AA30" s="25" cm="1">
        <f t="array" ref="AA30">IFERROR(INDEX(서포터데이터!$C$3:$AAY$52, ROW()-ROW(AA$4)+1, MATCH(AA$3, 서포터데이터!$C$1:$AAY$1, 0)+AA$1), 0)</f>
        <v>0</v>
      </c>
      <c r="AB30" s="61">
        <f t="shared" si="9"/>
        <v>0.9909</v>
      </c>
      <c r="AC30" s="24" cm="1">
        <f t="array" ref="AC30">IFERROR(INDEX(딜러데이터!$C$3:$AAM$52, ROW()-ROW(AC$4)+1, MATCH(AC$3, 딜러데이터!$C$1:$AAM$1, 0)+AC$1), 0)</f>
        <v>0</v>
      </c>
      <c r="AD30" s="24" cm="1">
        <f t="array" ref="AD30">IFERROR(INDEX(서포터데이터!$C$3:$AAY$52, ROW()-ROW(AD$4)+1, MATCH(AD$3, 서포터데이터!$C$1:$AAY$1, 0)+AD$1), 0)</f>
        <v>0</v>
      </c>
      <c r="AE30" s="24" cm="1">
        <f t="array" ref="AE30">IFERROR(INDEX(서포터데이터!$C$3:$AAY$52, ROW()-ROW(AE$4)+1, MATCH(AE$3, 서포터데이터!$C$1:$AAY$1, 0)+AE$1), 0)</f>
        <v>0</v>
      </c>
      <c r="AF30" s="24" cm="1">
        <f t="array" ref="AF30">IFERROR(INDEX(서포터데이터!$C$3:$AAY$52, ROW()-ROW(AF$4)+1, MATCH(AF$3, 서포터데이터!$C$1:$AAY$1, 0)+AF$1), 0)</f>
        <v>0</v>
      </c>
      <c r="AG30" s="25" cm="1">
        <f t="array" ref="AG30">IFERROR(INDEX(서포터데이터!$C$3:$AAY$52, ROW()-ROW(AG$4)+1, MATCH(AG$3, 서포터데이터!$C$1:$AAY$1, 0)+AG$1), 0)</f>
        <v>0</v>
      </c>
      <c r="AH30" s="61">
        <f t="shared" si="10"/>
        <v>0.9909</v>
      </c>
      <c r="AI30" s="24" cm="1">
        <f t="array" ref="AI30">IFERROR(INDEX(딜러데이터!$C$3:$AAM$52, ROW()-ROW(AI$4)+1, MATCH(AI$3, 딜러데이터!$C$1:$AAM$1, 0)+AI$1), 0)</f>
        <v>0</v>
      </c>
      <c r="AJ30" s="24" cm="1">
        <f t="array" ref="AJ30">IFERROR(INDEX(서포터데이터!$C$3:$AAY$52, ROW()-ROW(AJ$4)+1, MATCH(AJ$3, 서포터데이터!$C$1:$AAY$1, 0)+AJ$1), 0)</f>
        <v>0</v>
      </c>
      <c r="AK30" s="24" cm="1">
        <f t="array" ref="AK30">IFERROR(INDEX(서포터데이터!$C$3:$AAY$52, ROW()-ROW(AK$4)+1, MATCH(AK$3, 서포터데이터!$C$1:$AAY$1, 0)+AK$1), 0)</f>
        <v>0</v>
      </c>
      <c r="AL30" s="24" cm="1">
        <f t="array" ref="AL30">IFERROR(INDEX(서포터데이터!$C$3:$AAY$52, ROW()-ROW(AL$4)+1, MATCH(AL$3, 서포터데이터!$C$1:$AAY$1, 0)+AL$1), 0)</f>
        <v>0</v>
      </c>
      <c r="AM30" s="25" cm="1">
        <f t="array" ref="AM30">IFERROR(INDEX(서포터데이터!$C$3:$AAY$52, ROW()-ROW(AM$4)+1, MATCH(AM$3, 서포터데이터!$C$1:$AAY$1, 0)+AM$1), 0)</f>
        <v>0</v>
      </c>
    </row>
    <row r="31" spans="1:39" x14ac:dyDescent="0.45">
      <c r="A31" s="267"/>
      <c r="B31" s="214" t="s">
        <v>285</v>
      </c>
      <c r="C31" s="215">
        <f>IF(OR(메인!$F$6="SG",메인!$F$6="SMG"),9.46%,0)</f>
        <v>0</v>
      </c>
      <c r="D31" s="61">
        <f>$C31+SUM(E31:I31)</f>
        <v>0</v>
      </c>
      <c r="E31" s="215" cm="1">
        <f t="array" ref="E31">IFERROR(INDEX(딜러데이터!$C$3:$AAM$52, ROW()-ROW(E$4)+1, MATCH(E$3, 딜러데이터!$C$1:$AAM$1, 0)+E$1), 0)</f>
        <v>0</v>
      </c>
      <c r="F31" s="215" cm="1">
        <f t="array" ref="F31">IFERROR(INDEX(서포터데이터!$C$3:$AAY$52, ROW()-ROW(F$4)+1, MATCH(F$3, 서포터데이터!$C$1:$AAY$1, 0)+F$1), 0)</f>
        <v>0</v>
      </c>
      <c r="G31" s="215" cm="1">
        <f t="array" ref="G31">IFERROR(INDEX(서포터데이터!$C$3:$AAY$52, ROW()-ROW(G$4)+1, MATCH(G$3, 서포터데이터!$C$1:$AAY$1, 0)+G$1), 0)</f>
        <v>0</v>
      </c>
      <c r="H31" s="215" cm="1">
        <f t="array" ref="H31">IFERROR(INDEX(서포터데이터!$C$3:$AAY$52, ROW()-ROW(H$4)+1, MATCH(H$3, 서포터데이터!$C$1:$AAY$1, 0)+H$1), 0)</f>
        <v>0</v>
      </c>
      <c r="I31" s="216" cm="1">
        <f t="array" ref="I31">IFERROR(INDEX(서포터데이터!$C$3:$AAY$52, ROW()-ROW(I$4)+1, MATCH(I$3, 서포터데이터!$C$1:$AAY$1, 0)+I$1), 0)</f>
        <v>0</v>
      </c>
      <c r="J31" s="61">
        <f>$C31+SUM(K31:O31)</f>
        <v>0</v>
      </c>
      <c r="K31" s="215" cm="1">
        <f t="array" ref="K31">IFERROR(INDEX(딜러데이터!$C$3:$AAM$52, ROW()-ROW(K$4)+1, MATCH(K$3, 딜러데이터!$C$1:$AAM$1, 0)+K$1), 0)</f>
        <v>0</v>
      </c>
      <c r="L31" s="215" cm="1">
        <f t="array" ref="L31">IFERROR(INDEX(서포터데이터!$C$3:$AAY$52, ROW()-ROW(L$4)+1, MATCH(L$3, 서포터데이터!$C$1:$AAY$1, 0)+L$1), 0)</f>
        <v>0</v>
      </c>
      <c r="M31" s="215" cm="1">
        <f t="array" ref="M31">IFERROR(INDEX(서포터데이터!$C$3:$AAY$52, ROW()-ROW(M$4)+1, MATCH(M$3, 서포터데이터!$C$1:$AAY$1, 0)+M$1), 0)</f>
        <v>0</v>
      </c>
      <c r="N31" s="215" cm="1">
        <f t="array" ref="N31">IFERROR(INDEX(서포터데이터!$C$3:$AAY$52, ROW()-ROW(N$4)+1, MATCH(N$3, 서포터데이터!$C$1:$AAY$1, 0)+N$1), 0)</f>
        <v>0</v>
      </c>
      <c r="O31" s="216" cm="1">
        <f t="array" ref="O31">IFERROR(INDEX(서포터데이터!$C$3:$AAY$52, ROW()-ROW(O$4)+1, MATCH(O$3, 서포터데이터!$C$1:$AAY$1, 0)+O$1), 0)</f>
        <v>0</v>
      </c>
      <c r="P31" s="61">
        <f>$C31+SUM(Q31:U31)</f>
        <v>0</v>
      </c>
      <c r="Q31" s="215" cm="1">
        <f t="array" ref="Q31">IFERROR(INDEX(딜러데이터!$C$3:$AAM$52, ROW()-ROW(Q$4)+1, MATCH(Q$3, 딜러데이터!$C$1:$AAM$1, 0)+Q$1), 0)</f>
        <v>0</v>
      </c>
      <c r="R31" s="215" cm="1">
        <f t="array" ref="R31">IFERROR(INDEX(서포터데이터!$C$3:$AAY$52, ROW()-ROW(R$4)+1, MATCH(R$3, 서포터데이터!$C$1:$AAY$1, 0)+R$1), 0)</f>
        <v>0</v>
      </c>
      <c r="S31" s="215" cm="1">
        <f t="array" ref="S31">IFERROR(INDEX(서포터데이터!$C$3:$AAY$52, ROW()-ROW(S$4)+1, MATCH(S$3, 서포터데이터!$C$1:$AAY$1, 0)+S$1), 0)</f>
        <v>0</v>
      </c>
      <c r="T31" s="215" cm="1">
        <f t="array" ref="T31">IFERROR(INDEX(서포터데이터!$C$3:$AAY$52, ROW()-ROW(T$4)+1, MATCH(T$3, 서포터데이터!$C$1:$AAY$1, 0)+T$1), 0)</f>
        <v>0</v>
      </c>
      <c r="U31" s="216" cm="1">
        <f t="array" ref="U31">IFERROR(INDEX(서포터데이터!$C$3:$AAY$52, ROW()-ROW(U$4)+1, MATCH(U$3, 서포터데이터!$C$1:$AAY$1, 0)+U$1), 0)</f>
        <v>0</v>
      </c>
      <c r="V31" s="61">
        <f>$C31+SUM(W31:AA31)</f>
        <v>0</v>
      </c>
      <c r="W31" s="215" cm="1">
        <f t="array" ref="W31">IFERROR(INDEX(딜러데이터!$C$3:$AAM$52, ROW()-ROW(W$4)+1, MATCH(W$3, 딜러데이터!$C$1:$AAM$1, 0)+W$1), 0)</f>
        <v>0</v>
      </c>
      <c r="X31" s="215" cm="1">
        <f t="array" ref="X31">IFERROR(INDEX(서포터데이터!$C$3:$AAY$52, ROW()-ROW(X$4)+1, MATCH(X$3, 서포터데이터!$C$1:$AAY$1, 0)+X$1), 0)</f>
        <v>0</v>
      </c>
      <c r="Y31" s="215" cm="1">
        <f t="array" ref="Y31">IFERROR(INDEX(서포터데이터!$C$3:$AAY$52, ROW()-ROW(Y$4)+1, MATCH(Y$3, 서포터데이터!$C$1:$AAY$1, 0)+Y$1), 0)</f>
        <v>0</v>
      </c>
      <c r="Z31" s="215" cm="1">
        <f t="array" ref="Z31">IFERROR(INDEX(서포터데이터!$C$3:$AAY$52, ROW()-ROW(Z$4)+1, MATCH(Z$3, 서포터데이터!$C$1:$AAY$1, 0)+Z$1), 0)</f>
        <v>0</v>
      </c>
      <c r="AA31" s="216" cm="1">
        <f t="array" ref="AA31">IFERROR(INDEX(서포터데이터!$C$3:$AAY$52, ROW()-ROW(AA$4)+1, MATCH(AA$3, 서포터데이터!$C$1:$AAY$1, 0)+AA$1), 0)</f>
        <v>0</v>
      </c>
      <c r="AB31" s="61">
        <f>$C31+SUM(AC31:AG31)</f>
        <v>0</v>
      </c>
      <c r="AC31" s="215" cm="1">
        <f t="array" ref="AC31">IFERROR(INDEX(딜러데이터!$C$3:$AAM$52, ROW()-ROW(AC$4)+1, MATCH(AC$3, 딜러데이터!$C$1:$AAM$1, 0)+AC$1), 0)</f>
        <v>0</v>
      </c>
      <c r="AD31" s="215" cm="1">
        <f t="array" ref="AD31">IFERROR(INDEX(서포터데이터!$C$3:$AAY$52, ROW()-ROW(AD$4)+1, MATCH(AD$3, 서포터데이터!$C$1:$AAY$1, 0)+AD$1), 0)</f>
        <v>0</v>
      </c>
      <c r="AE31" s="215" cm="1">
        <f t="array" ref="AE31">IFERROR(INDEX(서포터데이터!$C$3:$AAY$52, ROW()-ROW(AE$4)+1, MATCH(AE$3, 서포터데이터!$C$1:$AAY$1, 0)+AE$1), 0)</f>
        <v>0</v>
      </c>
      <c r="AF31" s="215" cm="1">
        <f t="array" ref="AF31">IFERROR(INDEX(서포터데이터!$C$3:$AAY$52, ROW()-ROW(AF$4)+1, MATCH(AF$3, 서포터데이터!$C$1:$AAY$1, 0)+AF$1), 0)</f>
        <v>0</v>
      </c>
      <c r="AG31" s="216" cm="1">
        <f t="array" ref="AG31">IFERROR(INDEX(서포터데이터!$C$3:$AAY$52, ROW()-ROW(AG$4)+1, MATCH(AG$3, 서포터데이터!$C$1:$AAY$1, 0)+AG$1), 0)</f>
        <v>0</v>
      </c>
      <c r="AH31" s="61">
        <f>$C31+SUM(AI31:AM31)</f>
        <v>0</v>
      </c>
      <c r="AI31" s="215" cm="1">
        <f t="array" ref="AI31">IFERROR(INDEX(딜러데이터!$C$3:$AAM$52, ROW()-ROW(AI$4)+1, MATCH(AI$3, 딜러데이터!$C$1:$AAM$1, 0)+AI$1), 0)</f>
        <v>0</v>
      </c>
      <c r="AJ31" s="215" cm="1">
        <f t="array" ref="AJ31">IFERROR(INDEX(서포터데이터!$C$3:$AAY$52, ROW()-ROW(AJ$4)+1, MATCH(AJ$3, 서포터데이터!$C$1:$AAY$1, 0)+AJ$1), 0)</f>
        <v>0</v>
      </c>
      <c r="AK31" s="215" cm="1">
        <f t="array" ref="AK31">IFERROR(INDEX(서포터데이터!$C$3:$AAY$52, ROW()-ROW(AK$4)+1, MATCH(AK$3, 서포터데이터!$C$1:$AAY$1, 0)+AK$1), 0)</f>
        <v>0</v>
      </c>
      <c r="AL31" s="215" cm="1">
        <f t="array" ref="AL31">IFERROR(INDEX(서포터데이터!$C$3:$AAY$52, ROW()-ROW(AL$4)+1, MATCH(AL$3, 서포터데이터!$C$1:$AAY$1, 0)+AL$1), 0)</f>
        <v>0</v>
      </c>
      <c r="AM31" s="216" cm="1">
        <f t="array" ref="AM31">IFERROR(INDEX(서포터데이터!$C$3:$AAY$52, ROW()-ROW(AM$4)+1, MATCH(AM$3, 서포터데이터!$C$1:$AAY$1, 0)+AM$1), 0)</f>
        <v>0</v>
      </c>
    </row>
    <row r="32" spans="1:39" x14ac:dyDescent="0.45">
      <c r="A32" s="267"/>
      <c r="B32" s="15" t="s">
        <v>286</v>
      </c>
      <c r="C32" s="22"/>
      <c r="D32" s="61">
        <f t="shared" si="12"/>
        <v>0.192</v>
      </c>
      <c r="E32" s="24" cm="1">
        <f t="array" ref="E32">IFERROR(INDEX(딜러데이터!$C$3:$AAM$52, ROW()-ROW(E$4)+1, MATCH(E$3, 딜러데이터!$C$1:$AAM$1, 0)+E$1), 0)</f>
        <v>0.192</v>
      </c>
      <c r="F32" s="24" cm="1">
        <f t="array" ref="F32">IFERROR(INDEX(서포터데이터!$C$3:$AAY$52, ROW()-ROW(F$4)+1, MATCH(F$3, 서포터데이터!$C$1:$AAY$1, 0)+F$1), 0)</f>
        <v>0</v>
      </c>
      <c r="G32" s="24" cm="1">
        <f t="array" ref="G32">IFERROR(INDEX(서포터데이터!$C$3:$AAY$52, ROW()-ROW(G$4)+1, MATCH(G$3, 서포터데이터!$C$1:$AAY$1, 0)+G$1), 0)</f>
        <v>0</v>
      </c>
      <c r="H32" s="24" cm="1">
        <f t="array" ref="H32">IFERROR(INDEX(서포터데이터!$C$3:$AAY$52, ROW()-ROW(H$4)+1, MATCH(H$3, 서포터데이터!$C$1:$AAY$1, 0)+H$1), 0)</f>
        <v>0</v>
      </c>
      <c r="I32" s="25" cm="1">
        <f t="array" ref="I32">IFERROR(INDEX(서포터데이터!$C$3:$AAY$52, ROW()-ROW(I$4)+1, MATCH(I$3, 서포터데이터!$C$1:$AAY$1, 0)+I$1), 0)</f>
        <v>0</v>
      </c>
      <c r="J32" s="61">
        <f t="shared" si="11"/>
        <v>0.192</v>
      </c>
      <c r="K32" s="24" cm="1">
        <f t="array" ref="K32">IFERROR(INDEX(딜러데이터!$C$3:$AAM$52, ROW()-ROW(K$4)+1, MATCH(K$3, 딜러데이터!$C$1:$AAM$1, 0)+K$1), 0)</f>
        <v>0.192</v>
      </c>
      <c r="L32" s="24" cm="1">
        <f t="array" ref="L32">IFERROR(INDEX(서포터데이터!$C$3:$AAY$52, ROW()-ROW(L$4)+1, MATCH(L$3, 서포터데이터!$C$1:$AAY$1, 0)+L$1), 0)</f>
        <v>0</v>
      </c>
      <c r="M32" s="24" cm="1">
        <f t="array" ref="M32">IFERROR(INDEX(서포터데이터!$C$3:$AAY$52, ROW()-ROW(M$4)+1, MATCH(M$3, 서포터데이터!$C$1:$AAY$1, 0)+M$1), 0)</f>
        <v>0</v>
      </c>
      <c r="N32" s="24" cm="1">
        <f t="array" ref="N32">IFERROR(INDEX(서포터데이터!$C$3:$AAY$52, ROW()-ROW(N$4)+1, MATCH(N$3, 서포터데이터!$C$1:$AAY$1, 0)+N$1), 0)</f>
        <v>0</v>
      </c>
      <c r="O32" s="25" cm="1">
        <f t="array" ref="O32">IFERROR(INDEX(서포터데이터!$C$3:$AAY$52, ROW()-ROW(O$4)+1, MATCH(O$3, 서포터데이터!$C$1:$AAY$1, 0)+O$1), 0)</f>
        <v>0</v>
      </c>
      <c r="P32" s="61">
        <f t="shared" si="7"/>
        <v>0.192</v>
      </c>
      <c r="Q32" s="24" cm="1">
        <f t="array" ref="Q32">IFERROR(INDEX(딜러데이터!$C$3:$AAM$52, ROW()-ROW(Q$4)+1, MATCH(Q$3, 딜러데이터!$C$1:$AAM$1, 0)+Q$1), 0)</f>
        <v>0.192</v>
      </c>
      <c r="R32" s="24" cm="1">
        <f t="array" ref="R32">IFERROR(INDEX(서포터데이터!$C$3:$AAY$52, ROW()-ROW(R$4)+1, MATCH(R$3, 서포터데이터!$C$1:$AAY$1, 0)+R$1), 0)</f>
        <v>0</v>
      </c>
      <c r="S32" s="24" cm="1">
        <f t="array" ref="S32">IFERROR(INDEX(서포터데이터!$C$3:$AAY$52, ROW()-ROW(S$4)+1, MATCH(S$3, 서포터데이터!$C$1:$AAY$1, 0)+S$1), 0)</f>
        <v>0</v>
      </c>
      <c r="T32" s="24" cm="1">
        <f t="array" ref="T32">IFERROR(INDEX(서포터데이터!$C$3:$AAY$52, ROW()-ROW(T$4)+1, MATCH(T$3, 서포터데이터!$C$1:$AAY$1, 0)+T$1), 0)</f>
        <v>0</v>
      </c>
      <c r="U32" s="25" cm="1">
        <f t="array" ref="U32">IFERROR(INDEX(서포터데이터!$C$3:$AAY$52, ROW()-ROW(U$4)+1, MATCH(U$3, 서포터데이터!$C$1:$AAY$1, 0)+U$1), 0)</f>
        <v>0</v>
      </c>
      <c r="V32" s="61">
        <f t="shared" si="8"/>
        <v>0.192</v>
      </c>
      <c r="W32" s="24" cm="1">
        <f t="array" ref="W32">IFERROR(INDEX(딜러데이터!$C$3:$AAM$52, ROW()-ROW(W$4)+1, MATCH(W$3, 딜러데이터!$C$1:$AAM$1, 0)+W$1), 0)</f>
        <v>0.192</v>
      </c>
      <c r="X32" s="24" cm="1">
        <f t="array" ref="X32">IFERROR(INDEX(서포터데이터!$C$3:$AAY$52, ROW()-ROW(X$4)+1, MATCH(X$3, 서포터데이터!$C$1:$AAY$1, 0)+X$1), 0)</f>
        <v>0</v>
      </c>
      <c r="Y32" s="24" cm="1">
        <f t="array" ref="Y32">IFERROR(INDEX(서포터데이터!$C$3:$AAY$52, ROW()-ROW(Y$4)+1, MATCH(Y$3, 서포터데이터!$C$1:$AAY$1, 0)+Y$1), 0)</f>
        <v>0</v>
      </c>
      <c r="Z32" s="24" cm="1">
        <f t="array" ref="Z32">IFERROR(INDEX(서포터데이터!$C$3:$AAY$52, ROW()-ROW(Z$4)+1, MATCH(Z$3, 서포터데이터!$C$1:$AAY$1, 0)+Z$1), 0)</f>
        <v>0</v>
      </c>
      <c r="AA32" s="25" cm="1">
        <f t="array" ref="AA32">IFERROR(INDEX(서포터데이터!$C$3:$AAY$52, ROW()-ROW(AA$4)+1, MATCH(AA$3, 서포터데이터!$C$1:$AAY$1, 0)+AA$1), 0)</f>
        <v>0</v>
      </c>
      <c r="AB32" s="61">
        <f t="shared" si="9"/>
        <v>0.192</v>
      </c>
      <c r="AC32" s="24" cm="1">
        <f t="array" ref="AC32">IFERROR(INDEX(딜러데이터!$C$3:$AAM$52, ROW()-ROW(AC$4)+1, MATCH(AC$3, 딜러데이터!$C$1:$AAM$1, 0)+AC$1), 0)</f>
        <v>0.192</v>
      </c>
      <c r="AD32" s="24" cm="1">
        <f t="array" ref="AD32">IFERROR(INDEX(서포터데이터!$C$3:$AAY$52, ROW()-ROW(AD$4)+1, MATCH(AD$3, 서포터데이터!$C$1:$AAY$1, 0)+AD$1), 0)</f>
        <v>0</v>
      </c>
      <c r="AE32" s="24" cm="1">
        <f t="array" ref="AE32">IFERROR(INDEX(서포터데이터!$C$3:$AAY$52, ROW()-ROW(AE$4)+1, MATCH(AE$3, 서포터데이터!$C$1:$AAY$1, 0)+AE$1), 0)</f>
        <v>0</v>
      </c>
      <c r="AF32" s="24" cm="1">
        <f t="array" ref="AF32">IFERROR(INDEX(서포터데이터!$C$3:$AAY$52, ROW()-ROW(AF$4)+1, MATCH(AF$3, 서포터데이터!$C$1:$AAY$1, 0)+AF$1), 0)</f>
        <v>0</v>
      </c>
      <c r="AG32" s="25" cm="1">
        <f t="array" ref="AG32">IFERROR(INDEX(서포터데이터!$C$3:$AAY$52, ROW()-ROW(AG$4)+1, MATCH(AG$3, 서포터데이터!$C$1:$AAY$1, 0)+AG$1), 0)</f>
        <v>0</v>
      </c>
      <c r="AH32" s="61">
        <f t="shared" si="10"/>
        <v>0.192</v>
      </c>
      <c r="AI32" s="24" cm="1">
        <f t="array" ref="AI32">IFERROR(INDEX(딜러데이터!$C$3:$AAM$52, ROW()-ROW(AI$4)+1, MATCH(AI$3, 딜러데이터!$C$1:$AAM$1, 0)+AI$1), 0)</f>
        <v>0.192</v>
      </c>
      <c r="AJ32" s="24" cm="1">
        <f t="array" ref="AJ32">IFERROR(INDEX(서포터데이터!$C$3:$AAY$52, ROW()-ROW(AJ$4)+1, MATCH(AJ$3, 서포터데이터!$C$1:$AAY$1, 0)+AJ$1), 0)</f>
        <v>0</v>
      </c>
      <c r="AK32" s="24" cm="1">
        <f t="array" ref="AK32">IFERROR(INDEX(서포터데이터!$C$3:$AAY$52, ROW()-ROW(AK$4)+1, MATCH(AK$3, 서포터데이터!$C$1:$AAY$1, 0)+AK$1), 0)</f>
        <v>0</v>
      </c>
      <c r="AL32" s="24" cm="1">
        <f t="array" ref="AL32">IFERROR(INDEX(서포터데이터!$C$3:$AAY$52, ROW()-ROW(AL$4)+1, MATCH(AL$3, 서포터데이터!$C$1:$AAY$1, 0)+AL$1), 0)</f>
        <v>0</v>
      </c>
      <c r="AM32" s="25" cm="1">
        <f t="array" ref="AM32">IFERROR(INDEX(서포터데이터!$C$3:$AAY$52, ROW()-ROW(AM$4)+1, MATCH(AM$3, 서포터데이터!$C$1:$AAY$1, 0)+AM$1), 0)</f>
        <v>0</v>
      </c>
    </row>
    <row r="33" spans="1:218" x14ac:dyDescent="0.45">
      <c r="A33" s="267" t="s">
        <v>287</v>
      </c>
      <c r="B33" s="158" t="s">
        <v>288</v>
      </c>
      <c r="C33" s="22">
        <f>메인!C26+37%</f>
        <v>0.37</v>
      </c>
      <c r="D33" s="61">
        <f t="shared" si="12"/>
        <v>0.37</v>
      </c>
      <c r="E33" s="24" cm="1">
        <f t="array" ref="E33">IFERROR(INDEX(딜러데이터!$C$3:$AAM$52, ROW()-ROW(E$4)+1, MATCH(E$3, 딜러데이터!$C$1:$AAM$1, 0)+E$1), 0)</f>
        <v>0</v>
      </c>
      <c r="F33" s="24" cm="1">
        <f t="array" ref="F33">IFERROR(INDEX(서포터데이터!$C$3:$AAY$52, ROW()-ROW(F$4)+1, MATCH(F$3, 서포터데이터!$C$1:$AAY$1, 0)+F$1), 0)</f>
        <v>0</v>
      </c>
      <c r="G33" s="24" cm="1">
        <f t="array" ref="G33">IFERROR(INDEX(서포터데이터!$C$3:$AAY$52, ROW()-ROW(G$4)+1, MATCH(G$3, 서포터데이터!$C$1:$AAY$1, 0)+G$1), 0)</f>
        <v>0</v>
      </c>
      <c r="H33" s="24" cm="1">
        <f t="array" ref="H33">IFERROR(INDEX(서포터데이터!$C$3:$AAY$52, ROW()-ROW(H$4)+1, MATCH(H$3, 서포터데이터!$C$1:$AAY$1, 0)+H$1), 0)</f>
        <v>0</v>
      </c>
      <c r="I33" s="25" cm="1">
        <f t="array" ref="I33">IFERROR(INDEX(서포터데이터!$C$3:$AAY$52, ROW()-ROW(I$4)+1, MATCH(I$3, 서포터데이터!$C$1:$AAY$1, 0)+I$1), 0)</f>
        <v>0</v>
      </c>
      <c r="J33" s="61">
        <f t="shared" si="11"/>
        <v>0.37</v>
      </c>
      <c r="K33" s="24" cm="1">
        <f t="array" ref="K33">IFERROR(INDEX(딜러데이터!$C$3:$AAM$52, ROW()-ROW(K$4)+1, MATCH(K$3, 딜러데이터!$C$1:$AAM$1, 0)+K$1), 0)</f>
        <v>0</v>
      </c>
      <c r="L33" s="24" cm="1">
        <f t="array" ref="L33">IFERROR(INDEX(서포터데이터!$C$3:$AAY$52, ROW()-ROW(L$4)+1, MATCH(L$3, 서포터데이터!$C$1:$AAY$1, 0)+L$1), 0)</f>
        <v>0</v>
      </c>
      <c r="M33" s="24" cm="1">
        <f t="array" ref="M33">IFERROR(INDEX(서포터데이터!$C$3:$AAY$52, ROW()-ROW(M$4)+1, MATCH(M$3, 서포터데이터!$C$1:$AAY$1, 0)+M$1), 0)</f>
        <v>0</v>
      </c>
      <c r="N33" s="24" cm="1">
        <f t="array" ref="N33">IFERROR(INDEX(서포터데이터!$C$3:$AAY$52, ROW()-ROW(N$4)+1, MATCH(N$3, 서포터데이터!$C$1:$AAY$1, 0)+N$1), 0)</f>
        <v>0</v>
      </c>
      <c r="O33" s="25" cm="1">
        <f t="array" ref="O33">IFERROR(INDEX(서포터데이터!$C$3:$AAY$52, ROW()-ROW(O$4)+1, MATCH(O$3, 서포터데이터!$C$1:$AAY$1, 0)+O$1), 0)</f>
        <v>0</v>
      </c>
      <c r="P33" s="61">
        <f t="shared" si="7"/>
        <v>0.37</v>
      </c>
      <c r="Q33" s="24" cm="1">
        <f t="array" ref="Q33">IFERROR(INDEX(딜러데이터!$C$3:$AAM$52, ROW()-ROW(Q$4)+1, MATCH(Q$3, 딜러데이터!$C$1:$AAM$1, 0)+Q$1), 0)</f>
        <v>0</v>
      </c>
      <c r="R33" s="24" cm="1">
        <f t="array" ref="R33">IFERROR(INDEX(서포터데이터!$C$3:$AAY$52, ROW()-ROW(R$4)+1, MATCH(R$3, 서포터데이터!$C$1:$AAY$1, 0)+R$1), 0)</f>
        <v>0</v>
      </c>
      <c r="S33" s="24" cm="1">
        <f t="array" ref="S33">IFERROR(INDEX(서포터데이터!$C$3:$AAY$52, ROW()-ROW(S$4)+1, MATCH(S$3, 서포터데이터!$C$1:$AAY$1, 0)+S$1), 0)</f>
        <v>0</v>
      </c>
      <c r="T33" s="24" cm="1">
        <f t="array" ref="T33">IFERROR(INDEX(서포터데이터!$C$3:$AAY$52, ROW()-ROW(T$4)+1, MATCH(T$3, 서포터데이터!$C$1:$AAY$1, 0)+T$1), 0)</f>
        <v>0</v>
      </c>
      <c r="U33" s="25" cm="1">
        <f t="array" ref="U33">IFERROR(INDEX(서포터데이터!$C$3:$AAY$52, ROW()-ROW(U$4)+1, MATCH(U$3, 서포터데이터!$C$1:$AAY$1, 0)+U$1), 0)</f>
        <v>0</v>
      </c>
      <c r="V33" s="61">
        <f t="shared" si="8"/>
        <v>0.37</v>
      </c>
      <c r="W33" s="24" cm="1">
        <f t="array" ref="W33">IFERROR(INDEX(딜러데이터!$C$3:$AAM$52, ROW()-ROW(W$4)+1, MATCH(W$3, 딜러데이터!$C$1:$AAM$1, 0)+W$1), 0)</f>
        <v>0</v>
      </c>
      <c r="X33" s="24" cm="1">
        <f t="array" ref="X33">IFERROR(INDEX(서포터데이터!$C$3:$AAY$52, ROW()-ROW(X$4)+1, MATCH(X$3, 서포터데이터!$C$1:$AAY$1, 0)+X$1), 0)</f>
        <v>0</v>
      </c>
      <c r="Y33" s="24" cm="1">
        <f t="array" ref="Y33">IFERROR(INDEX(서포터데이터!$C$3:$AAY$52, ROW()-ROW(Y$4)+1, MATCH(Y$3, 서포터데이터!$C$1:$AAY$1, 0)+Y$1), 0)</f>
        <v>0</v>
      </c>
      <c r="Z33" s="24" cm="1">
        <f t="array" ref="Z33">IFERROR(INDEX(서포터데이터!$C$3:$AAY$52, ROW()-ROW(Z$4)+1, MATCH(Z$3, 서포터데이터!$C$1:$AAY$1, 0)+Z$1), 0)</f>
        <v>0</v>
      </c>
      <c r="AA33" s="25" cm="1">
        <f t="array" ref="AA33">IFERROR(INDEX(서포터데이터!$C$3:$AAY$52, ROW()-ROW(AA$4)+1, MATCH(AA$3, 서포터데이터!$C$1:$AAY$1, 0)+AA$1), 0)</f>
        <v>0</v>
      </c>
      <c r="AB33" s="61">
        <f t="shared" si="9"/>
        <v>0.37</v>
      </c>
      <c r="AC33" s="24" cm="1">
        <f t="array" ref="AC33">IFERROR(INDEX(딜러데이터!$C$3:$AAM$52, ROW()-ROW(AC$4)+1, MATCH(AC$3, 딜러데이터!$C$1:$AAM$1, 0)+AC$1), 0)</f>
        <v>0</v>
      </c>
      <c r="AD33" s="24" cm="1">
        <f t="array" ref="AD33">IFERROR(INDEX(서포터데이터!$C$3:$AAY$52, ROW()-ROW(AD$4)+1, MATCH(AD$3, 서포터데이터!$C$1:$AAY$1, 0)+AD$1), 0)</f>
        <v>0</v>
      </c>
      <c r="AE33" s="24" cm="1">
        <f t="array" ref="AE33">IFERROR(INDEX(서포터데이터!$C$3:$AAY$52, ROW()-ROW(AE$4)+1, MATCH(AE$3, 서포터데이터!$C$1:$AAY$1, 0)+AE$1), 0)</f>
        <v>0</v>
      </c>
      <c r="AF33" s="24" cm="1">
        <f t="array" ref="AF33">IFERROR(INDEX(서포터데이터!$C$3:$AAY$52, ROW()-ROW(AF$4)+1, MATCH(AF$3, 서포터데이터!$C$1:$AAY$1, 0)+AF$1), 0)</f>
        <v>0</v>
      </c>
      <c r="AG33" s="25" cm="1">
        <f t="array" ref="AG33">IFERROR(INDEX(서포터데이터!$C$3:$AAY$52, ROW()-ROW(AG$4)+1, MATCH(AG$3, 서포터데이터!$C$1:$AAY$1, 0)+AG$1), 0)</f>
        <v>0</v>
      </c>
      <c r="AH33" s="61">
        <f t="shared" si="10"/>
        <v>0.37</v>
      </c>
      <c r="AI33" s="24" cm="1">
        <f t="array" ref="AI33">IFERROR(INDEX(딜러데이터!$C$3:$AAM$52, ROW()-ROW(AI$4)+1, MATCH(AI$3, 딜러데이터!$C$1:$AAM$1, 0)+AI$1), 0)</f>
        <v>0</v>
      </c>
      <c r="AJ33" s="24" cm="1">
        <f t="array" ref="AJ33">IFERROR(INDEX(서포터데이터!$C$3:$AAY$52, ROW()-ROW(AJ$4)+1, MATCH(AJ$3, 서포터데이터!$C$1:$AAY$1, 0)+AJ$1), 0)</f>
        <v>0</v>
      </c>
      <c r="AK33" s="24" cm="1">
        <f t="array" ref="AK33">IFERROR(INDEX(서포터데이터!$C$3:$AAY$52, ROW()-ROW(AK$4)+1, MATCH(AK$3, 서포터데이터!$C$1:$AAY$1, 0)+AK$1), 0)</f>
        <v>0</v>
      </c>
      <c r="AL33" s="24" cm="1">
        <f t="array" ref="AL33">IFERROR(INDEX(서포터데이터!$C$3:$AAY$52, ROW()-ROW(AL$4)+1, MATCH(AL$3, 서포터데이터!$C$1:$AAY$1, 0)+AL$1), 0)</f>
        <v>0</v>
      </c>
      <c r="AM33" s="25" cm="1">
        <f t="array" ref="AM33">IFERROR(INDEX(서포터데이터!$C$3:$AAY$52, ROW()-ROW(AM$4)+1, MATCH(AM$3, 서포터데이터!$C$1:$AAY$1, 0)+AM$1), 0)</f>
        <v>0</v>
      </c>
    </row>
    <row r="34" spans="1:218" s="8" customFormat="1" x14ac:dyDescent="0.45">
      <c r="A34" s="267"/>
      <c r="B34" s="221" t="s">
        <v>289</v>
      </c>
      <c r="C34" s="14"/>
      <c r="D34" s="61">
        <f t="shared" ref="D34:D35" si="13">$C34+SUM(E34:I34)</f>
        <v>0</v>
      </c>
      <c r="E34" s="24" cm="1">
        <f t="array" ref="E34">IFERROR(INDEX(딜러데이터!$C$3:$AAM$52, ROW()-ROW(E$4)+1, MATCH(E$3, 딜러데이터!$C$1:$AAM$1, 0)+E$1), 0)</f>
        <v>0</v>
      </c>
      <c r="F34" s="24" cm="1">
        <f t="array" ref="F34">IFERROR(INDEX(서포터데이터!$C$3:$AAY$52, ROW()-ROW(F$4)+1, MATCH(F$3, 서포터데이터!$C$1:$AAY$1, 0)+F$1), 0)</f>
        <v>0</v>
      </c>
      <c r="G34" s="24" cm="1">
        <f t="array" ref="G34">IFERROR(INDEX(서포터데이터!$C$3:$AAY$52, ROW()-ROW(G$4)+1, MATCH(G$3, 서포터데이터!$C$1:$AAY$1, 0)+G$1), 0)</f>
        <v>0</v>
      </c>
      <c r="H34" s="24" cm="1">
        <f t="array" ref="H34">IFERROR(INDEX(서포터데이터!$C$3:$AAY$52, ROW()-ROW(H$4)+1, MATCH(H$3, 서포터데이터!$C$1:$AAY$1, 0)+H$1), 0)</f>
        <v>0</v>
      </c>
      <c r="I34" s="25" cm="1">
        <f t="array" ref="I34">IFERROR(INDEX(서포터데이터!$C$3:$AAY$52, ROW()-ROW(I$4)+1, MATCH(I$3, 서포터데이터!$C$1:$AAY$1, 0)+I$1), 0)</f>
        <v>0</v>
      </c>
      <c r="J34" s="61">
        <f t="shared" ref="J34:J35" si="14">$C34+SUM(K34:O34)</f>
        <v>0</v>
      </c>
      <c r="K34" s="24" cm="1">
        <f t="array" ref="K34">IFERROR(INDEX(딜러데이터!$C$3:$AAM$52, ROW()-ROW(K$4)+1, MATCH(K$3, 딜러데이터!$C$1:$AAM$1, 0)+K$1), 0)</f>
        <v>0</v>
      </c>
      <c r="L34" s="24" cm="1">
        <f t="array" ref="L34">IFERROR(INDEX(서포터데이터!$C$3:$AAY$52, ROW()-ROW(L$4)+1, MATCH(L$3, 서포터데이터!$C$1:$AAY$1, 0)+L$1), 0)</f>
        <v>0</v>
      </c>
      <c r="M34" s="24" cm="1">
        <f t="array" ref="M34">IFERROR(INDEX(서포터데이터!$C$3:$AAY$52, ROW()-ROW(M$4)+1, MATCH(M$3, 서포터데이터!$C$1:$AAY$1, 0)+M$1), 0)</f>
        <v>0</v>
      </c>
      <c r="N34" s="24" cm="1">
        <f t="array" ref="N34">IFERROR(INDEX(서포터데이터!$C$3:$AAY$52, ROW()-ROW(N$4)+1, MATCH(N$3, 서포터데이터!$C$1:$AAY$1, 0)+N$1), 0)</f>
        <v>0</v>
      </c>
      <c r="O34" s="25" cm="1">
        <f t="array" ref="O34">IFERROR(INDEX(서포터데이터!$C$3:$AAY$52, ROW()-ROW(O$4)+1, MATCH(O$3, 서포터데이터!$C$1:$AAY$1, 0)+O$1), 0)</f>
        <v>0</v>
      </c>
      <c r="P34" s="61">
        <f t="shared" ref="P34:P35" si="15">$C34+SUM(Q34:U34)</f>
        <v>0</v>
      </c>
      <c r="Q34" s="24" cm="1">
        <f t="array" ref="Q34">IFERROR(INDEX(딜러데이터!$C$3:$AAM$52, ROW()-ROW(Q$4)+1, MATCH(Q$3, 딜러데이터!$C$1:$AAM$1, 0)+Q$1), 0)</f>
        <v>0</v>
      </c>
      <c r="R34" s="24" cm="1">
        <f t="array" ref="R34">IFERROR(INDEX(서포터데이터!$C$3:$AAY$52, ROW()-ROW(R$4)+1, MATCH(R$3, 서포터데이터!$C$1:$AAY$1, 0)+R$1), 0)</f>
        <v>0</v>
      </c>
      <c r="S34" s="24" cm="1">
        <f t="array" ref="S34">IFERROR(INDEX(서포터데이터!$C$3:$AAY$52, ROW()-ROW(S$4)+1, MATCH(S$3, 서포터데이터!$C$1:$AAY$1, 0)+S$1), 0)</f>
        <v>0</v>
      </c>
      <c r="T34" s="24" cm="1">
        <f t="array" ref="T34">IFERROR(INDEX(서포터데이터!$C$3:$AAY$52, ROW()-ROW(T$4)+1, MATCH(T$3, 서포터데이터!$C$1:$AAY$1, 0)+T$1), 0)</f>
        <v>0</v>
      </c>
      <c r="U34" s="25" cm="1">
        <f t="array" ref="U34">IFERROR(INDEX(서포터데이터!$C$3:$AAY$52, ROW()-ROW(U$4)+1, MATCH(U$3, 서포터데이터!$C$1:$AAY$1, 0)+U$1), 0)</f>
        <v>0</v>
      </c>
      <c r="V34" s="61">
        <f t="shared" ref="V34:V35" si="16">$C34+SUM(W34:AA34)</f>
        <v>0</v>
      </c>
      <c r="W34" s="24" cm="1">
        <f t="array" ref="W34">IFERROR(INDEX(딜러데이터!$C$3:$AAM$52, ROW()-ROW(W$4)+1, MATCH(W$3, 딜러데이터!$C$1:$AAM$1, 0)+W$1), 0)</f>
        <v>0</v>
      </c>
      <c r="X34" s="24" cm="1">
        <f t="array" ref="X34">IFERROR(INDEX(서포터데이터!$C$3:$AAY$52, ROW()-ROW(X$4)+1, MATCH(X$3, 서포터데이터!$C$1:$AAY$1, 0)+X$1), 0)</f>
        <v>0</v>
      </c>
      <c r="Y34" s="24" cm="1">
        <f t="array" ref="Y34">IFERROR(INDEX(서포터데이터!$C$3:$AAY$52, ROW()-ROW(Y$4)+1, MATCH(Y$3, 서포터데이터!$C$1:$AAY$1, 0)+Y$1), 0)</f>
        <v>0</v>
      </c>
      <c r="Z34" s="24" cm="1">
        <f t="array" ref="Z34">IFERROR(INDEX(서포터데이터!$C$3:$AAY$52, ROW()-ROW(Z$4)+1, MATCH(Z$3, 서포터데이터!$C$1:$AAY$1, 0)+Z$1), 0)</f>
        <v>0</v>
      </c>
      <c r="AA34" s="25" cm="1">
        <f t="array" ref="AA34">IFERROR(INDEX(서포터데이터!$C$3:$AAY$52, ROW()-ROW(AA$4)+1, MATCH(AA$3, 서포터데이터!$C$1:$AAY$1, 0)+AA$1), 0)</f>
        <v>0</v>
      </c>
      <c r="AB34" s="61">
        <f t="shared" ref="AB34:AB35" si="17">$C34+SUM(AC34:AG34)</f>
        <v>0</v>
      </c>
      <c r="AC34" s="24" cm="1">
        <f t="array" ref="AC34">IFERROR(INDEX(딜러데이터!$C$3:$AAM$52, ROW()-ROW(AC$4)+1, MATCH(AC$3, 딜러데이터!$C$1:$AAM$1, 0)+AC$1), 0)</f>
        <v>0</v>
      </c>
      <c r="AD34" s="24" cm="1">
        <f t="array" ref="AD34">IFERROR(INDEX(서포터데이터!$C$3:$AAY$52, ROW()-ROW(AD$4)+1, MATCH(AD$3, 서포터데이터!$C$1:$AAY$1, 0)+AD$1), 0)</f>
        <v>0</v>
      </c>
      <c r="AE34" s="24" cm="1">
        <f t="array" ref="AE34">IFERROR(INDEX(서포터데이터!$C$3:$AAY$52, ROW()-ROW(AE$4)+1, MATCH(AE$3, 서포터데이터!$C$1:$AAY$1, 0)+AE$1), 0)</f>
        <v>0</v>
      </c>
      <c r="AF34" s="24" cm="1">
        <f t="array" ref="AF34">IFERROR(INDEX(서포터데이터!$C$3:$AAY$52, ROW()-ROW(AF$4)+1, MATCH(AF$3, 서포터데이터!$C$1:$AAY$1, 0)+AF$1), 0)</f>
        <v>0</v>
      </c>
      <c r="AG34" s="25" cm="1">
        <f t="array" ref="AG34">IFERROR(INDEX(서포터데이터!$C$3:$AAY$52, ROW()-ROW(AG$4)+1, MATCH(AG$3, 서포터데이터!$C$1:$AAY$1, 0)+AG$1), 0)</f>
        <v>0</v>
      </c>
      <c r="AH34" s="61">
        <f t="shared" ref="AH34:AH35" si="18">$C34+SUM(AI34:AM34)</f>
        <v>0</v>
      </c>
      <c r="AI34" s="24" cm="1">
        <f t="array" ref="AI34">IFERROR(INDEX(딜러데이터!$C$3:$AAM$52, ROW()-ROW(AI$4)+1, MATCH(AI$3, 딜러데이터!$C$1:$AAM$1, 0)+AI$1), 0)</f>
        <v>0</v>
      </c>
      <c r="AJ34" s="24" cm="1">
        <f t="array" ref="AJ34">IFERROR(INDEX(서포터데이터!$C$3:$AAY$52, ROW()-ROW(AJ$4)+1, MATCH(AJ$3, 서포터데이터!$C$1:$AAY$1, 0)+AJ$1), 0)</f>
        <v>0</v>
      </c>
      <c r="AK34" s="24" cm="1">
        <f t="array" ref="AK34">IFERROR(INDEX(서포터데이터!$C$3:$AAY$52, ROW()-ROW(AK$4)+1, MATCH(AK$3, 서포터데이터!$C$1:$AAY$1, 0)+AK$1), 0)</f>
        <v>0</v>
      </c>
      <c r="AL34" s="24" cm="1">
        <f t="array" ref="AL34">IFERROR(INDEX(서포터데이터!$C$3:$AAY$52, ROW()-ROW(AL$4)+1, MATCH(AL$3, 서포터데이터!$C$1:$AAY$1, 0)+AL$1), 0)</f>
        <v>0</v>
      </c>
      <c r="AM34" s="25" cm="1">
        <f t="array" ref="AM34">IFERROR(INDEX(서포터데이터!$C$3:$AAY$52, ROW()-ROW(AM$4)+1, MATCH(AM$3, 서포터데이터!$C$1:$AAY$1, 0)+AM$1), 0)</f>
        <v>0</v>
      </c>
      <c r="AN34" s="14"/>
      <c r="AO34" s="14"/>
      <c r="AP34" s="14"/>
      <c r="AQ34" s="14"/>
      <c r="AR34" s="15"/>
      <c r="AS34" s="14"/>
      <c r="AT34" s="14"/>
      <c r="AU34" s="14"/>
      <c r="AV34" s="14"/>
      <c r="AW34" s="14"/>
      <c r="AX34" s="15"/>
      <c r="AY34" s="14"/>
      <c r="AZ34" s="14"/>
      <c r="BA34" s="14"/>
      <c r="BB34" s="14"/>
      <c r="BC34" s="14"/>
      <c r="BD34" s="15"/>
      <c r="BE34" s="14"/>
      <c r="BF34" s="14"/>
      <c r="BG34" s="14"/>
      <c r="BH34" s="14"/>
      <c r="BI34" s="14"/>
      <c r="BJ34" s="15"/>
      <c r="BK34" s="14"/>
      <c r="BL34" s="14"/>
      <c r="BM34" s="14"/>
      <c r="BN34" s="14"/>
      <c r="BO34" s="14"/>
      <c r="BP34" s="15"/>
      <c r="BQ34" s="14"/>
      <c r="BR34" s="14"/>
      <c r="BS34" s="14"/>
      <c r="BT34" s="14"/>
      <c r="BU34" s="14"/>
      <c r="BV34" s="15"/>
      <c r="BW34" s="14"/>
      <c r="BX34" s="14"/>
      <c r="BY34" s="14"/>
      <c r="BZ34" s="14"/>
      <c r="CA34" s="14"/>
      <c r="CB34" s="15"/>
      <c r="CC34" s="14"/>
      <c r="CD34" s="14"/>
      <c r="CE34" s="14"/>
      <c r="CF34" s="14"/>
      <c r="CG34" s="14"/>
      <c r="CH34" s="15"/>
      <c r="CI34" s="14"/>
      <c r="CJ34" s="14"/>
      <c r="CK34" s="14"/>
      <c r="CL34" s="14"/>
      <c r="CM34" s="14"/>
      <c r="CN34" s="15"/>
      <c r="CO34" s="14"/>
      <c r="CP34" s="14"/>
      <c r="CQ34" s="14"/>
      <c r="CR34" s="14"/>
      <c r="CS34" s="14"/>
      <c r="CT34" s="15"/>
      <c r="CU34" s="14"/>
      <c r="CV34" s="14"/>
      <c r="CW34" s="14"/>
      <c r="CX34" s="14"/>
      <c r="CY34" s="14"/>
      <c r="CZ34" s="15"/>
      <c r="DA34" s="14"/>
      <c r="DB34" s="14"/>
      <c r="DC34" s="14"/>
      <c r="DD34" s="14"/>
      <c r="DE34" s="14"/>
      <c r="DF34" s="15"/>
      <c r="DG34" s="14"/>
      <c r="DH34" s="14"/>
      <c r="DI34" s="14"/>
      <c r="DJ34" s="14"/>
      <c r="DK34" s="14"/>
      <c r="DL34" s="15"/>
      <c r="DM34" s="14"/>
      <c r="DN34" s="14"/>
      <c r="DO34" s="14"/>
      <c r="DP34" s="14"/>
      <c r="DQ34" s="14"/>
      <c r="DR34" s="15"/>
      <c r="DS34" s="14"/>
      <c r="DT34" s="14"/>
      <c r="DU34" s="14"/>
      <c r="DV34" s="14"/>
      <c r="DW34" s="14"/>
      <c r="DX34" s="15"/>
      <c r="DY34" s="14"/>
      <c r="DZ34" s="14"/>
      <c r="EA34" s="14"/>
      <c r="EB34" s="14"/>
      <c r="EC34" s="14"/>
      <c r="ED34" s="15"/>
      <c r="EE34" s="14"/>
      <c r="EF34" s="14"/>
      <c r="EG34" s="14"/>
      <c r="EH34" s="14"/>
      <c r="EI34" s="14"/>
      <c r="EJ34" s="15"/>
      <c r="EK34" s="14"/>
      <c r="EL34" s="14"/>
      <c r="EM34" s="14"/>
      <c r="EN34" s="14"/>
      <c r="EO34" s="14"/>
      <c r="EP34" s="15"/>
      <c r="EQ34" s="14"/>
      <c r="ER34" s="14"/>
      <c r="ES34" s="14"/>
      <c r="ET34" s="14"/>
      <c r="EU34" s="14"/>
      <c r="EV34" s="15"/>
      <c r="EW34" s="14"/>
      <c r="EX34" s="14"/>
      <c r="EY34" s="14"/>
      <c r="EZ34" s="14"/>
      <c r="FA34" s="14"/>
      <c r="FB34" s="15"/>
      <c r="FC34" s="14"/>
      <c r="FD34" s="14"/>
      <c r="FE34" s="14"/>
      <c r="FF34" s="14"/>
      <c r="FG34" s="14"/>
      <c r="FH34" s="15"/>
      <c r="FI34" s="14"/>
      <c r="FJ34" s="14"/>
      <c r="FK34" s="14"/>
      <c r="FL34" s="14"/>
      <c r="FM34" s="14"/>
      <c r="FN34" s="15"/>
      <c r="FO34" s="14"/>
      <c r="FP34" s="14"/>
      <c r="FQ34" s="14"/>
      <c r="FR34" s="14"/>
      <c r="FS34" s="14"/>
      <c r="FT34" s="15"/>
      <c r="FU34" s="14"/>
      <c r="FV34" s="14"/>
      <c r="FW34" s="14"/>
      <c r="FX34" s="14"/>
      <c r="FY34" s="14"/>
      <c r="FZ34" s="15"/>
      <c r="GA34" s="14"/>
      <c r="GB34" s="14"/>
      <c r="GC34" s="14"/>
      <c r="GD34" s="14"/>
      <c r="GE34" s="14"/>
      <c r="GF34" s="15"/>
      <c r="GG34" s="14"/>
      <c r="GH34" s="14"/>
      <c r="GI34" s="14"/>
      <c r="GJ34" s="14"/>
      <c r="GK34" s="14"/>
      <c r="GL34" s="15"/>
      <c r="GM34" s="14"/>
      <c r="GN34" s="14"/>
      <c r="GO34" s="14"/>
      <c r="GP34" s="14"/>
      <c r="GQ34" s="14"/>
      <c r="GR34" s="15"/>
      <c r="GS34" s="14"/>
      <c r="GT34" s="14"/>
      <c r="GU34" s="14"/>
      <c r="GV34" s="14"/>
      <c r="GW34" s="14"/>
      <c r="GX34" s="15"/>
      <c r="GY34" s="14"/>
      <c r="GZ34" s="14"/>
      <c r="HA34" s="14"/>
      <c r="HB34" s="14"/>
      <c r="HC34" s="14"/>
      <c r="HD34" s="15"/>
      <c r="HE34" s="14"/>
      <c r="HF34" s="14"/>
      <c r="HG34" s="14"/>
      <c r="HH34" s="14"/>
      <c r="HI34" s="14"/>
      <c r="HJ34" s="15"/>
    </row>
    <row r="35" spans="1:218" s="123" customFormat="1" x14ac:dyDescent="0.45">
      <c r="A35" s="267"/>
      <c r="B35" s="222" t="s">
        <v>317</v>
      </c>
      <c r="C35" s="122"/>
      <c r="D35" s="223">
        <f t="shared" si="13"/>
        <v>0</v>
      </c>
      <c r="E35" s="224" cm="1">
        <f t="array" ref="E35">IFERROR(INDEX(딜러데이터!$C$3:$AAM$52, ROW()-ROW(E$4)+1, MATCH(E$3, 딜러데이터!$C$1:$AAM$1, 0)+E$1), 0)</f>
        <v>0</v>
      </c>
      <c r="F35" s="224" cm="1">
        <f t="array" ref="F35">IFERROR(INDEX(서포터데이터!$C$3:$AAY$52, ROW()-ROW(F$4)+1, MATCH(F$3, 서포터데이터!$C$1:$AAY$1, 0)+F$1), 0)</f>
        <v>0</v>
      </c>
      <c r="G35" s="224" cm="1">
        <f t="array" ref="G35">IFERROR(INDEX(서포터데이터!$C$3:$AAY$52, ROW()-ROW(G$4)+1, MATCH(G$3, 서포터데이터!$C$1:$AAY$1, 0)+G$1), 0)</f>
        <v>0</v>
      </c>
      <c r="H35" s="224" cm="1">
        <f t="array" ref="H35">IFERROR(INDEX(서포터데이터!$C$3:$AAY$52, ROW()-ROW(H$4)+1, MATCH(H$3, 서포터데이터!$C$1:$AAY$1, 0)+H$1), 0)</f>
        <v>0</v>
      </c>
      <c r="I35" s="225" cm="1">
        <f t="array" ref="I35">IFERROR(INDEX(서포터데이터!$C$3:$AAY$52, ROW()-ROW(I$4)+1, MATCH(I$3, 서포터데이터!$C$1:$AAY$1, 0)+I$1), 0)</f>
        <v>0</v>
      </c>
      <c r="J35" s="223">
        <f t="shared" si="14"/>
        <v>0</v>
      </c>
      <c r="K35" s="224" cm="1">
        <f t="array" ref="K35">IFERROR(INDEX(딜러데이터!$C$3:$AAM$52, ROW()-ROW(K$4)+1, MATCH(K$3, 딜러데이터!$C$1:$AAM$1, 0)+K$1), 0)</f>
        <v>0</v>
      </c>
      <c r="L35" s="224" cm="1">
        <f t="array" ref="L35">IFERROR(INDEX(서포터데이터!$C$3:$AAY$52, ROW()-ROW(L$4)+1, MATCH(L$3, 서포터데이터!$C$1:$AAY$1, 0)+L$1), 0)</f>
        <v>0</v>
      </c>
      <c r="M35" s="224" cm="1">
        <f t="array" ref="M35">IFERROR(INDEX(서포터데이터!$C$3:$AAY$52, ROW()-ROW(M$4)+1, MATCH(M$3, 서포터데이터!$C$1:$AAY$1, 0)+M$1), 0)</f>
        <v>0</v>
      </c>
      <c r="N35" s="224" cm="1">
        <f t="array" ref="N35">IFERROR(INDEX(서포터데이터!$C$3:$AAY$52, ROW()-ROW(N$4)+1, MATCH(N$3, 서포터데이터!$C$1:$AAY$1, 0)+N$1), 0)</f>
        <v>0</v>
      </c>
      <c r="O35" s="225" cm="1">
        <f t="array" ref="O35">IFERROR(INDEX(서포터데이터!$C$3:$AAY$52, ROW()-ROW(O$4)+1, MATCH(O$3, 서포터데이터!$C$1:$AAY$1, 0)+O$1), 0)</f>
        <v>0</v>
      </c>
      <c r="P35" s="223">
        <f t="shared" si="15"/>
        <v>0</v>
      </c>
      <c r="Q35" s="224" cm="1">
        <f t="array" ref="Q35">IFERROR(INDEX(딜러데이터!$C$3:$AAM$52, ROW()-ROW(Q$4)+1, MATCH(Q$3, 딜러데이터!$C$1:$AAM$1, 0)+Q$1), 0)</f>
        <v>0</v>
      </c>
      <c r="R35" s="224" cm="1">
        <f t="array" ref="R35">IFERROR(INDEX(서포터데이터!$C$3:$AAY$52, ROW()-ROW(R$4)+1, MATCH(R$3, 서포터데이터!$C$1:$AAY$1, 0)+R$1), 0)</f>
        <v>0</v>
      </c>
      <c r="S35" s="224" cm="1">
        <f t="array" ref="S35">IFERROR(INDEX(서포터데이터!$C$3:$AAY$52, ROW()-ROW(S$4)+1, MATCH(S$3, 서포터데이터!$C$1:$AAY$1, 0)+S$1), 0)</f>
        <v>0</v>
      </c>
      <c r="T35" s="224" cm="1">
        <f t="array" ref="T35">IFERROR(INDEX(서포터데이터!$C$3:$AAY$52, ROW()-ROW(T$4)+1, MATCH(T$3, 서포터데이터!$C$1:$AAY$1, 0)+T$1), 0)</f>
        <v>0</v>
      </c>
      <c r="U35" s="225" cm="1">
        <f t="array" ref="U35">IFERROR(INDEX(서포터데이터!$C$3:$AAY$52, ROW()-ROW(U$4)+1, MATCH(U$3, 서포터데이터!$C$1:$AAY$1, 0)+U$1), 0)</f>
        <v>0</v>
      </c>
      <c r="V35" s="223">
        <f t="shared" si="16"/>
        <v>0</v>
      </c>
      <c r="W35" s="224" cm="1">
        <f t="array" ref="W35">IFERROR(INDEX(딜러데이터!$C$3:$AAM$52, ROW()-ROW(W$4)+1, MATCH(W$3, 딜러데이터!$C$1:$AAM$1, 0)+W$1), 0)</f>
        <v>0</v>
      </c>
      <c r="X35" s="224" cm="1">
        <f t="array" ref="X35">IFERROR(INDEX(서포터데이터!$C$3:$AAY$52, ROW()-ROW(X$4)+1, MATCH(X$3, 서포터데이터!$C$1:$AAY$1, 0)+X$1), 0)</f>
        <v>0</v>
      </c>
      <c r="Y35" s="224" cm="1">
        <f t="array" ref="Y35">IFERROR(INDEX(서포터데이터!$C$3:$AAY$52, ROW()-ROW(Y$4)+1, MATCH(Y$3, 서포터데이터!$C$1:$AAY$1, 0)+Y$1), 0)</f>
        <v>0</v>
      </c>
      <c r="Z35" s="224" cm="1">
        <f t="array" ref="Z35">IFERROR(INDEX(서포터데이터!$C$3:$AAY$52, ROW()-ROW(Z$4)+1, MATCH(Z$3, 서포터데이터!$C$1:$AAY$1, 0)+Z$1), 0)</f>
        <v>0</v>
      </c>
      <c r="AA35" s="225" cm="1">
        <f t="array" ref="AA35">IFERROR(INDEX(서포터데이터!$C$3:$AAY$52, ROW()-ROW(AA$4)+1, MATCH(AA$3, 서포터데이터!$C$1:$AAY$1, 0)+AA$1), 0)</f>
        <v>0</v>
      </c>
      <c r="AB35" s="223">
        <f t="shared" si="17"/>
        <v>0</v>
      </c>
      <c r="AC35" s="224" cm="1">
        <f t="array" ref="AC35">IFERROR(INDEX(딜러데이터!$C$3:$AAM$52, ROW()-ROW(AC$4)+1, MATCH(AC$3, 딜러데이터!$C$1:$AAM$1, 0)+AC$1), 0)</f>
        <v>0</v>
      </c>
      <c r="AD35" s="224" cm="1">
        <f t="array" ref="AD35">IFERROR(INDEX(서포터데이터!$C$3:$AAY$52, ROW()-ROW(AD$4)+1, MATCH(AD$3, 서포터데이터!$C$1:$AAY$1, 0)+AD$1), 0)</f>
        <v>0</v>
      </c>
      <c r="AE35" s="224" cm="1">
        <f t="array" ref="AE35">IFERROR(INDEX(서포터데이터!$C$3:$AAY$52, ROW()-ROW(AE$4)+1, MATCH(AE$3, 서포터데이터!$C$1:$AAY$1, 0)+AE$1), 0)</f>
        <v>0</v>
      </c>
      <c r="AF35" s="224" cm="1">
        <f t="array" ref="AF35">IFERROR(INDEX(서포터데이터!$C$3:$AAY$52, ROW()-ROW(AF$4)+1, MATCH(AF$3, 서포터데이터!$C$1:$AAY$1, 0)+AF$1), 0)</f>
        <v>0</v>
      </c>
      <c r="AG35" s="225" cm="1">
        <f t="array" ref="AG35">IFERROR(INDEX(서포터데이터!$C$3:$AAY$52, ROW()-ROW(AG$4)+1, MATCH(AG$3, 서포터데이터!$C$1:$AAY$1, 0)+AG$1), 0)</f>
        <v>0</v>
      </c>
      <c r="AH35" s="223">
        <f t="shared" si="18"/>
        <v>0</v>
      </c>
      <c r="AI35" s="224" cm="1">
        <f t="array" ref="AI35">IFERROR(INDEX(딜러데이터!$C$3:$AAM$52, ROW()-ROW(AI$4)+1, MATCH(AI$3, 딜러데이터!$C$1:$AAM$1, 0)+AI$1), 0)</f>
        <v>0</v>
      </c>
      <c r="AJ35" s="224" cm="1">
        <f t="array" ref="AJ35">IFERROR(INDEX(서포터데이터!$C$3:$AAY$52, ROW()-ROW(AJ$4)+1, MATCH(AJ$3, 서포터데이터!$C$1:$AAY$1, 0)+AJ$1), 0)</f>
        <v>0</v>
      </c>
      <c r="AK35" s="224" cm="1">
        <f t="array" ref="AK35">IFERROR(INDEX(서포터데이터!$C$3:$AAY$52, ROW()-ROW(AK$4)+1, MATCH(AK$3, 서포터데이터!$C$1:$AAY$1, 0)+AK$1), 0)</f>
        <v>0</v>
      </c>
      <c r="AL35" s="224" cm="1">
        <f t="array" ref="AL35">IFERROR(INDEX(서포터데이터!$C$3:$AAY$52, ROW()-ROW(AL$4)+1, MATCH(AL$3, 서포터데이터!$C$1:$AAY$1, 0)+AL$1), 0)</f>
        <v>0</v>
      </c>
      <c r="AM35" s="225" cm="1">
        <f t="array" ref="AM35">IFERROR(INDEX(서포터데이터!$C$3:$AAY$52, ROW()-ROW(AM$4)+1, MATCH(AM$3, 서포터데이터!$C$1:$AAY$1, 0)+AM$1), 0)</f>
        <v>0</v>
      </c>
      <c r="AN35" s="122"/>
      <c r="AO35" s="122"/>
      <c r="AP35" s="122"/>
      <c r="AQ35" s="122"/>
      <c r="AR35" s="121"/>
      <c r="AS35" s="122"/>
      <c r="AT35" s="122"/>
      <c r="AU35" s="122"/>
      <c r="AV35" s="122"/>
      <c r="AW35" s="122"/>
      <c r="AX35" s="121"/>
      <c r="AY35" s="122"/>
      <c r="AZ35" s="122"/>
      <c r="BA35" s="122"/>
      <c r="BB35" s="122"/>
      <c r="BC35" s="122"/>
      <c r="BD35" s="121"/>
      <c r="BE35" s="122"/>
      <c r="BF35" s="122"/>
      <c r="BG35" s="122"/>
      <c r="BH35" s="122"/>
      <c r="BI35" s="122"/>
      <c r="BJ35" s="121"/>
      <c r="BK35" s="122"/>
      <c r="BL35" s="122"/>
      <c r="BM35" s="122"/>
      <c r="BN35" s="122"/>
      <c r="BO35" s="122"/>
      <c r="BP35" s="121"/>
      <c r="BQ35" s="122"/>
      <c r="BR35" s="122"/>
      <c r="BS35" s="122"/>
      <c r="BT35" s="122"/>
      <c r="BU35" s="122"/>
      <c r="BV35" s="121"/>
      <c r="BW35" s="122"/>
      <c r="BX35" s="122"/>
      <c r="BY35" s="122"/>
      <c r="BZ35" s="122"/>
      <c r="CA35" s="122"/>
      <c r="CB35" s="121"/>
      <c r="CC35" s="122"/>
      <c r="CD35" s="122"/>
      <c r="CE35" s="122"/>
      <c r="CF35" s="122"/>
      <c r="CG35" s="122"/>
      <c r="CH35" s="121"/>
      <c r="CI35" s="122"/>
      <c r="CJ35" s="122"/>
      <c r="CK35" s="122"/>
      <c r="CL35" s="122"/>
      <c r="CM35" s="122"/>
      <c r="CN35" s="121"/>
      <c r="CO35" s="122"/>
      <c r="CP35" s="122"/>
      <c r="CQ35" s="122"/>
      <c r="CR35" s="122"/>
      <c r="CS35" s="122"/>
      <c r="CT35" s="121"/>
      <c r="CU35" s="122"/>
      <c r="CV35" s="122"/>
      <c r="CW35" s="122"/>
      <c r="CX35" s="122"/>
      <c r="CY35" s="122"/>
      <c r="CZ35" s="121"/>
      <c r="DA35" s="122"/>
      <c r="DB35" s="122"/>
      <c r="DC35" s="122"/>
      <c r="DD35" s="122"/>
      <c r="DE35" s="122"/>
      <c r="DF35" s="121"/>
      <c r="DG35" s="122"/>
      <c r="DH35" s="122"/>
      <c r="DI35" s="122"/>
      <c r="DJ35" s="122"/>
      <c r="DK35" s="122"/>
      <c r="DL35" s="121"/>
      <c r="DM35" s="122"/>
      <c r="DN35" s="122"/>
      <c r="DO35" s="122"/>
      <c r="DP35" s="122"/>
      <c r="DQ35" s="122"/>
      <c r="DR35" s="121"/>
      <c r="DS35" s="122"/>
      <c r="DT35" s="122"/>
      <c r="DU35" s="122"/>
      <c r="DV35" s="122"/>
      <c r="DW35" s="122"/>
      <c r="DX35" s="121"/>
      <c r="DY35" s="122"/>
      <c r="DZ35" s="122"/>
      <c r="EA35" s="122"/>
      <c r="EB35" s="122"/>
      <c r="EC35" s="122"/>
      <c r="ED35" s="121"/>
      <c r="EE35" s="122"/>
      <c r="EF35" s="122"/>
      <c r="EG35" s="122"/>
      <c r="EH35" s="122"/>
      <c r="EI35" s="122"/>
      <c r="EJ35" s="121"/>
      <c r="EK35" s="122"/>
      <c r="EL35" s="122"/>
      <c r="EM35" s="122"/>
      <c r="EN35" s="122"/>
      <c r="EO35" s="122"/>
      <c r="EP35" s="121"/>
      <c r="EQ35" s="122"/>
      <c r="ER35" s="122"/>
      <c r="ES35" s="122"/>
      <c r="ET35" s="122"/>
      <c r="EU35" s="122"/>
      <c r="EV35" s="121"/>
      <c r="EW35" s="122"/>
      <c r="EX35" s="122"/>
      <c r="EY35" s="122"/>
      <c r="EZ35" s="122"/>
      <c r="FA35" s="122"/>
      <c r="FB35" s="121"/>
      <c r="FC35" s="122"/>
      <c r="FD35" s="122"/>
      <c r="FE35" s="122"/>
      <c r="FF35" s="122"/>
      <c r="FG35" s="122"/>
      <c r="FH35" s="121"/>
      <c r="FI35" s="122"/>
      <c r="FJ35" s="122"/>
      <c r="FK35" s="122"/>
      <c r="FL35" s="122"/>
      <c r="FM35" s="122"/>
      <c r="FN35" s="121"/>
      <c r="FO35" s="122"/>
      <c r="FP35" s="122"/>
      <c r="FQ35" s="122"/>
      <c r="FR35" s="122"/>
      <c r="FS35" s="122"/>
      <c r="FT35" s="121"/>
      <c r="FU35" s="122"/>
      <c r="FV35" s="122"/>
      <c r="FW35" s="122"/>
      <c r="FX35" s="122"/>
      <c r="FY35" s="122"/>
      <c r="FZ35" s="121"/>
      <c r="GA35" s="122"/>
      <c r="GB35" s="122"/>
      <c r="GC35" s="122"/>
      <c r="GD35" s="122"/>
      <c r="GE35" s="122"/>
      <c r="GF35" s="121"/>
      <c r="GG35" s="122"/>
      <c r="GH35" s="122"/>
      <c r="GI35" s="122"/>
      <c r="GJ35" s="122"/>
      <c r="GK35" s="122"/>
      <c r="GL35" s="121"/>
      <c r="GM35" s="122"/>
      <c r="GN35" s="122"/>
      <c r="GO35" s="122"/>
      <c r="GP35" s="122"/>
      <c r="GQ35" s="122"/>
      <c r="GR35" s="121"/>
      <c r="GS35" s="122"/>
      <c r="GT35" s="122"/>
      <c r="GU35" s="122"/>
      <c r="GV35" s="122"/>
      <c r="GW35" s="122"/>
      <c r="GX35" s="121"/>
      <c r="GY35" s="122"/>
      <c r="GZ35" s="122"/>
      <c r="HA35" s="122"/>
      <c r="HB35" s="122"/>
      <c r="HC35" s="122"/>
      <c r="HD35" s="121"/>
      <c r="HE35" s="122"/>
      <c r="HF35" s="122"/>
      <c r="HG35" s="122"/>
      <c r="HH35" s="122"/>
      <c r="HI35" s="122"/>
      <c r="HJ35" s="121"/>
    </row>
    <row r="36" spans="1:218" x14ac:dyDescent="0.45">
      <c r="A36" s="267"/>
      <c r="B36" s="158" t="s">
        <v>291</v>
      </c>
      <c r="C36" s="22">
        <f>메인!C20+IF(메인!F6="MG",9.5%,0)</f>
        <v>1.2</v>
      </c>
      <c r="D36" s="61">
        <f t="shared" si="12"/>
        <v>1.2</v>
      </c>
      <c r="E36" s="24" cm="1">
        <f t="array" ref="E36">IFERROR(INDEX(딜러데이터!$C$3:$AAM$52, ROW()-ROW(E$4)+1, MATCH(E$3, 딜러데이터!$C$1:$AAM$1, 0)+E$1), 0)</f>
        <v>0</v>
      </c>
      <c r="F36" s="24" cm="1">
        <f t="array" ref="F36">IFERROR(INDEX(서포터데이터!$C$3:$AAY$52, ROW()-ROW(F$4)+1, MATCH(F$3, 서포터데이터!$C$1:$AAY$1, 0)+F$1), 0)</f>
        <v>0</v>
      </c>
      <c r="G36" s="24" cm="1">
        <f t="array" ref="G36">IFERROR(INDEX(서포터데이터!$C$3:$AAY$52, ROW()-ROW(G$4)+1, MATCH(G$3, 서포터데이터!$C$1:$AAY$1, 0)+G$1), 0)</f>
        <v>0</v>
      </c>
      <c r="H36" s="24" cm="1">
        <f t="array" ref="H36">IFERROR(INDEX(서포터데이터!$C$3:$AAY$52, ROW()-ROW(H$4)+1, MATCH(H$3, 서포터데이터!$C$1:$AAY$1, 0)+H$1), 0)</f>
        <v>0</v>
      </c>
      <c r="I36" s="25" cm="1">
        <f t="array" ref="I36">IFERROR(INDEX(서포터데이터!$C$3:$AAY$52, ROW()-ROW(I$4)+1, MATCH(I$3, 서포터데이터!$C$1:$AAY$1, 0)+I$1), 0)</f>
        <v>0</v>
      </c>
      <c r="J36" s="61">
        <f t="shared" si="11"/>
        <v>1.2</v>
      </c>
      <c r="K36" s="24" cm="1">
        <f t="array" ref="K36">IFERROR(INDEX(딜러데이터!$C$3:$AAM$52, ROW()-ROW(K$4)+1, MATCH(K$3, 딜러데이터!$C$1:$AAM$1, 0)+K$1), 0)</f>
        <v>0</v>
      </c>
      <c r="L36" s="24" cm="1">
        <f t="array" ref="L36">IFERROR(INDEX(서포터데이터!$C$3:$AAY$52, ROW()-ROW(L$4)+1, MATCH(L$3, 서포터데이터!$C$1:$AAY$1, 0)+L$1), 0)</f>
        <v>0</v>
      </c>
      <c r="M36" s="24" cm="1">
        <f t="array" ref="M36">IFERROR(INDEX(서포터데이터!$C$3:$AAY$52, ROW()-ROW(M$4)+1, MATCH(M$3, 서포터데이터!$C$1:$AAY$1, 0)+M$1), 0)</f>
        <v>0</v>
      </c>
      <c r="N36" s="24" cm="1">
        <f t="array" ref="N36">IFERROR(INDEX(서포터데이터!$C$3:$AAY$52, ROW()-ROW(N$4)+1, MATCH(N$3, 서포터데이터!$C$1:$AAY$1, 0)+N$1), 0)</f>
        <v>0</v>
      </c>
      <c r="O36" s="25" cm="1">
        <f t="array" ref="O36">IFERROR(INDEX(서포터데이터!$C$3:$AAY$52, ROW()-ROW(O$4)+1, MATCH(O$3, 서포터데이터!$C$1:$AAY$1, 0)+O$1), 0)</f>
        <v>0</v>
      </c>
      <c r="P36" s="61">
        <f t="shared" si="7"/>
        <v>1.2</v>
      </c>
      <c r="Q36" s="24" cm="1">
        <f t="array" ref="Q36">IFERROR(INDEX(딜러데이터!$C$3:$AAM$52, ROW()-ROW(Q$4)+1, MATCH(Q$3, 딜러데이터!$C$1:$AAM$1, 0)+Q$1), 0)</f>
        <v>0</v>
      </c>
      <c r="R36" s="24" cm="1">
        <f t="array" ref="R36">IFERROR(INDEX(서포터데이터!$C$3:$AAY$52, ROW()-ROW(R$4)+1, MATCH(R$3, 서포터데이터!$C$1:$AAY$1, 0)+R$1), 0)</f>
        <v>0</v>
      </c>
      <c r="S36" s="24" cm="1">
        <f t="array" ref="S36">IFERROR(INDEX(서포터데이터!$C$3:$AAY$52, ROW()-ROW(S$4)+1, MATCH(S$3, 서포터데이터!$C$1:$AAY$1, 0)+S$1), 0)</f>
        <v>0</v>
      </c>
      <c r="T36" s="24" cm="1">
        <f t="array" ref="T36">IFERROR(INDEX(서포터데이터!$C$3:$AAY$52, ROW()-ROW(T$4)+1, MATCH(T$3, 서포터데이터!$C$1:$AAY$1, 0)+T$1), 0)</f>
        <v>0</v>
      </c>
      <c r="U36" s="25" cm="1">
        <f t="array" ref="U36">IFERROR(INDEX(서포터데이터!$C$3:$AAY$52, ROW()-ROW(U$4)+1, MATCH(U$3, 서포터데이터!$C$1:$AAY$1, 0)+U$1), 0)</f>
        <v>0</v>
      </c>
      <c r="V36" s="61">
        <f t="shared" si="8"/>
        <v>1.2</v>
      </c>
      <c r="W36" s="24" cm="1">
        <f t="array" ref="W36">IFERROR(INDEX(딜러데이터!$C$3:$AAM$52, ROW()-ROW(W$4)+1, MATCH(W$3, 딜러데이터!$C$1:$AAM$1, 0)+W$1), 0)</f>
        <v>0</v>
      </c>
      <c r="X36" s="24" cm="1">
        <f t="array" ref="X36">IFERROR(INDEX(서포터데이터!$C$3:$AAY$52, ROW()-ROW(X$4)+1, MATCH(X$3, 서포터데이터!$C$1:$AAY$1, 0)+X$1), 0)</f>
        <v>0</v>
      </c>
      <c r="Y36" s="24" cm="1">
        <f t="array" ref="Y36">IFERROR(INDEX(서포터데이터!$C$3:$AAY$52, ROW()-ROW(Y$4)+1, MATCH(Y$3, 서포터데이터!$C$1:$AAY$1, 0)+Y$1), 0)</f>
        <v>0</v>
      </c>
      <c r="Z36" s="24" cm="1">
        <f t="array" ref="Z36">IFERROR(INDEX(서포터데이터!$C$3:$AAY$52, ROW()-ROW(Z$4)+1, MATCH(Z$3, 서포터데이터!$C$1:$AAY$1, 0)+Z$1), 0)</f>
        <v>0</v>
      </c>
      <c r="AA36" s="25" cm="1">
        <f t="array" ref="AA36">IFERROR(INDEX(서포터데이터!$C$3:$AAY$52, ROW()-ROW(AA$4)+1, MATCH(AA$3, 서포터데이터!$C$1:$AAY$1, 0)+AA$1), 0)</f>
        <v>0</v>
      </c>
      <c r="AB36" s="61">
        <f t="shared" si="9"/>
        <v>1.2</v>
      </c>
      <c r="AC36" s="24" cm="1">
        <f t="array" ref="AC36">IFERROR(INDEX(딜러데이터!$C$3:$AAM$52, ROW()-ROW(AC$4)+1, MATCH(AC$3, 딜러데이터!$C$1:$AAM$1, 0)+AC$1), 0)</f>
        <v>0</v>
      </c>
      <c r="AD36" s="24" cm="1">
        <f t="array" ref="AD36">IFERROR(INDEX(서포터데이터!$C$3:$AAY$52, ROW()-ROW(AD$4)+1, MATCH(AD$3, 서포터데이터!$C$1:$AAY$1, 0)+AD$1), 0)</f>
        <v>0</v>
      </c>
      <c r="AE36" s="24" cm="1">
        <f t="array" ref="AE36">IFERROR(INDEX(서포터데이터!$C$3:$AAY$52, ROW()-ROW(AE$4)+1, MATCH(AE$3, 서포터데이터!$C$1:$AAY$1, 0)+AE$1), 0)</f>
        <v>0</v>
      </c>
      <c r="AF36" s="24" cm="1">
        <f t="array" ref="AF36">IFERROR(INDEX(서포터데이터!$C$3:$AAY$52, ROW()-ROW(AF$4)+1, MATCH(AF$3, 서포터데이터!$C$1:$AAY$1, 0)+AF$1), 0)</f>
        <v>0</v>
      </c>
      <c r="AG36" s="25" cm="1">
        <f t="array" ref="AG36">IFERROR(INDEX(서포터데이터!$C$3:$AAY$52, ROW()-ROW(AG$4)+1, MATCH(AG$3, 서포터데이터!$C$1:$AAY$1, 0)+AG$1), 0)</f>
        <v>0</v>
      </c>
      <c r="AH36" s="61">
        <f t="shared" si="10"/>
        <v>1.2</v>
      </c>
      <c r="AI36" s="24" cm="1">
        <f t="array" ref="AI36">IFERROR(INDEX(딜러데이터!$C$3:$AAM$52, ROW()-ROW(AI$4)+1, MATCH(AI$3, 딜러데이터!$C$1:$AAM$1, 0)+AI$1), 0)</f>
        <v>0</v>
      </c>
      <c r="AJ36" s="24" cm="1">
        <f t="array" ref="AJ36">IFERROR(INDEX(서포터데이터!$C$3:$AAY$52, ROW()-ROW(AJ$4)+1, MATCH(AJ$3, 서포터데이터!$C$1:$AAY$1, 0)+AJ$1), 0)</f>
        <v>0</v>
      </c>
      <c r="AK36" s="24" cm="1">
        <f t="array" ref="AK36">IFERROR(INDEX(서포터데이터!$C$3:$AAY$52, ROW()-ROW(AK$4)+1, MATCH(AK$3, 서포터데이터!$C$1:$AAY$1, 0)+AK$1), 0)</f>
        <v>0</v>
      </c>
      <c r="AL36" s="24" cm="1">
        <f t="array" ref="AL36">IFERROR(INDEX(서포터데이터!$C$3:$AAY$52, ROW()-ROW(AL$4)+1, MATCH(AL$3, 서포터데이터!$C$1:$AAY$1, 0)+AL$1), 0)</f>
        <v>0</v>
      </c>
      <c r="AM36" s="25" cm="1">
        <f t="array" ref="AM36">IFERROR(INDEX(서포터데이터!$C$3:$AAY$52, ROW()-ROW(AM$4)+1, MATCH(AM$3, 서포터데이터!$C$1:$AAY$1, 0)+AM$1), 0)</f>
        <v>0</v>
      </c>
    </row>
    <row r="37" spans="1:218" x14ac:dyDescent="0.45">
      <c r="A37" s="267"/>
      <c r="B37" s="158" t="s">
        <v>292</v>
      </c>
      <c r="C37" s="22">
        <v>0.2969</v>
      </c>
      <c r="D37" s="61">
        <f t="shared" si="12"/>
        <v>1.1484999999999999</v>
      </c>
      <c r="E37" s="24" cm="1">
        <f t="array" ref="E37">IFERROR(INDEX(딜러데이터!$C$3:$AAM$52, ROW()-ROW(E$4)+1, MATCH(E$3, 딜러데이터!$C$1:$AAM$1, 0)+E$1), 0)</f>
        <v>0</v>
      </c>
      <c r="F37" s="24" cm="1">
        <f t="array" ref="F37">IFERROR(INDEX(서포터데이터!$C$3:$AAY$52, ROW()-ROW(F$4)+1, MATCH(F$3, 서포터데이터!$C$1:$AAY$1, 0)+F$1), 0)</f>
        <v>0</v>
      </c>
      <c r="G37" s="24" cm="1">
        <f t="array" ref="G37">IFERROR(INDEX(서포터데이터!$C$3:$AAY$52, ROW()-ROW(G$4)+1, MATCH(G$3, 서포터데이터!$C$1:$AAY$1, 0)+G$1), 0)</f>
        <v>0.45119999999999999</v>
      </c>
      <c r="H37" s="24" cm="1">
        <f t="array" ref="H37">IFERROR(INDEX(서포터데이터!$C$3:$AAY$52, ROW()-ROW(H$4)+1, MATCH(H$3, 서포터데이터!$C$1:$AAY$1, 0)+H$1), 0)</f>
        <v>0.40039999999999998</v>
      </c>
      <c r="I37" s="25" cm="1">
        <f t="array" ref="I37">IFERROR(INDEX(서포터데이터!$C$3:$AAY$52, ROW()-ROW(I$4)+1, MATCH(I$3, 서포터데이터!$C$1:$AAY$1, 0)+I$1), 0)</f>
        <v>0</v>
      </c>
      <c r="J37" s="61">
        <f t="shared" si="11"/>
        <v>1.1484999999999999</v>
      </c>
      <c r="K37" s="24" cm="1">
        <f t="array" ref="K37">IFERROR(INDEX(딜러데이터!$C$3:$AAM$52, ROW()-ROW(K$4)+1, MATCH(K$3, 딜러데이터!$C$1:$AAM$1, 0)+K$1), 0)</f>
        <v>0</v>
      </c>
      <c r="L37" s="24" cm="1">
        <f t="array" ref="L37">IFERROR(INDEX(서포터데이터!$C$3:$AAY$52, ROW()-ROW(L$4)+1, MATCH(L$3, 서포터데이터!$C$1:$AAY$1, 0)+L$1), 0)</f>
        <v>0</v>
      </c>
      <c r="M37" s="24" cm="1">
        <f t="array" ref="M37">IFERROR(INDEX(서포터데이터!$C$3:$AAY$52, ROW()-ROW(M$4)+1, MATCH(M$3, 서포터데이터!$C$1:$AAY$1, 0)+M$1), 0)</f>
        <v>0.45119999999999999</v>
      </c>
      <c r="N37" s="24" cm="1">
        <f t="array" ref="N37">IFERROR(INDEX(서포터데이터!$C$3:$AAY$52, ROW()-ROW(N$4)+1, MATCH(N$3, 서포터데이터!$C$1:$AAY$1, 0)+N$1), 0)</f>
        <v>0.40039999999999998</v>
      </c>
      <c r="O37" s="25" cm="1">
        <f t="array" ref="O37">IFERROR(INDEX(서포터데이터!$C$3:$AAY$52, ROW()-ROW(O$4)+1, MATCH(O$3, 서포터데이터!$C$1:$AAY$1, 0)+O$1), 0)</f>
        <v>0</v>
      </c>
      <c r="P37" s="61">
        <f t="shared" si="7"/>
        <v>1.1484999999999999</v>
      </c>
      <c r="Q37" s="24" cm="1">
        <f t="array" ref="Q37">IFERROR(INDEX(딜러데이터!$C$3:$AAM$52, ROW()-ROW(Q$4)+1, MATCH(Q$3, 딜러데이터!$C$1:$AAM$1, 0)+Q$1), 0)</f>
        <v>0</v>
      </c>
      <c r="R37" s="24" cm="1">
        <f t="array" ref="R37">IFERROR(INDEX(서포터데이터!$C$3:$AAY$52, ROW()-ROW(R$4)+1, MATCH(R$3, 서포터데이터!$C$1:$AAY$1, 0)+R$1), 0)</f>
        <v>0</v>
      </c>
      <c r="S37" s="24" cm="1">
        <f t="array" ref="S37">IFERROR(INDEX(서포터데이터!$C$3:$AAY$52, ROW()-ROW(S$4)+1, MATCH(S$3, 서포터데이터!$C$1:$AAY$1, 0)+S$1), 0)</f>
        <v>0.45119999999999999</v>
      </c>
      <c r="T37" s="24" cm="1">
        <f t="array" ref="T37">IFERROR(INDEX(서포터데이터!$C$3:$AAY$52, ROW()-ROW(T$4)+1, MATCH(T$3, 서포터데이터!$C$1:$AAY$1, 0)+T$1), 0)</f>
        <v>0.40039999999999998</v>
      </c>
      <c r="U37" s="25" cm="1">
        <f t="array" ref="U37">IFERROR(INDEX(서포터데이터!$C$3:$AAY$52, ROW()-ROW(U$4)+1, MATCH(U$3, 서포터데이터!$C$1:$AAY$1, 0)+U$1), 0)</f>
        <v>0</v>
      </c>
      <c r="V37" s="61">
        <f t="shared" si="8"/>
        <v>0.69730000000000003</v>
      </c>
      <c r="W37" s="24" cm="1">
        <f t="array" ref="W37">IFERROR(INDEX(딜러데이터!$C$3:$AAM$52, ROW()-ROW(W$4)+1, MATCH(W$3, 딜러데이터!$C$1:$AAM$1, 0)+W$1), 0)</f>
        <v>0</v>
      </c>
      <c r="X37" s="24" cm="1">
        <f t="array" ref="X37">IFERROR(INDEX(서포터데이터!$C$3:$AAY$52, ROW()-ROW(X$4)+1, MATCH(X$3, 서포터데이터!$C$1:$AAY$1, 0)+X$1), 0)</f>
        <v>0</v>
      </c>
      <c r="Y37" s="24" cm="1">
        <f t="array" ref="Y37">IFERROR(INDEX(서포터데이터!$C$3:$AAY$52, ROW()-ROW(Y$4)+1, MATCH(Y$3, 서포터데이터!$C$1:$AAY$1, 0)+Y$1), 0)</f>
        <v>0</v>
      </c>
      <c r="Z37" s="24" cm="1">
        <f t="array" ref="Z37">IFERROR(INDEX(서포터데이터!$C$3:$AAY$52, ROW()-ROW(Z$4)+1, MATCH(Z$3, 서포터데이터!$C$1:$AAY$1, 0)+Z$1), 0)</f>
        <v>0.40039999999999998</v>
      </c>
      <c r="AA37" s="25" cm="1">
        <f t="array" ref="AA37">IFERROR(INDEX(서포터데이터!$C$3:$AAY$52, ROW()-ROW(AA$4)+1, MATCH(AA$3, 서포터데이터!$C$1:$AAY$1, 0)+AA$1), 0)</f>
        <v>0</v>
      </c>
      <c r="AB37" s="61">
        <f t="shared" si="9"/>
        <v>1.1484999999999999</v>
      </c>
      <c r="AC37" s="24" cm="1">
        <f t="array" ref="AC37">IFERROR(INDEX(딜러데이터!$C$3:$AAM$52, ROW()-ROW(AC$4)+1, MATCH(AC$3, 딜러데이터!$C$1:$AAM$1, 0)+AC$1), 0)</f>
        <v>0</v>
      </c>
      <c r="AD37" s="24" cm="1">
        <f t="array" ref="AD37">IFERROR(INDEX(서포터데이터!$C$3:$AAY$52, ROW()-ROW(AD$4)+1, MATCH(AD$3, 서포터데이터!$C$1:$AAY$1, 0)+AD$1), 0)</f>
        <v>0</v>
      </c>
      <c r="AE37" s="24" cm="1">
        <f t="array" ref="AE37">IFERROR(INDEX(서포터데이터!$C$3:$AAY$52, ROW()-ROW(AE$4)+1, MATCH(AE$3, 서포터데이터!$C$1:$AAY$1, 0)+AE$1), 0)</f>
        <v>0.45119999999999999</v>
      </c>
      <c r="AF37" s="24" cm="1">
        <f t="array" ref="AF37">IFERROR(INDEX(서포터데이터!$C$3:$AAY$52, ROW()-ROW(AF$4)+1, MATCH(AF$3, 서포터데이터!$C$1:$AAY$1, 0)+AF$1), 0)</f>
        <v>0.40039999999999998</v>
      </c>
      <c r="AG37" s="25" cm="1">
        <f t="array" ref="AG37">IFERROR(INDEX(서포터데이터!$C$3:$AAY$52, ROW()-ROW(AG$4)+1, MATCH(AG$3, 서포터데이터!$C$1:$AAY$1, 0)+AG$1), 0)</f>
        <v>0</v>
      </c>
      <c r="AH37" s="61">
        <f t="shared" si="10"/>
        <v>1.1484999999999999</v>
      </c>
      <c r="AI37" s="24" cm="1">
        <f t="array" ref="AI37">IFERROR(INDEX(딜러데이터!$C$3:$AAM$52, ROW()-ROW(AI$4)+1, MATCH(AI$3, 딜러데이터!$C$1:$AAM$1, 0)+AI$1), 0)</f>
        <v>0</v>
      </c>
      <c r="AJ37" s="24" cm="1">
        <f t="array" ref="AJ37">IFERROR(INDEX(서포터데이터!$C$3:$AAY$52, ROW()-ROW(AJ$4)+1, MATCH(AJ$3, 서포터데이터!$C$1:$AAY$1, 0)+AJ$1), 0)</f>
        <v>0</v>
      </c>
      <c r="AK37" s="24" cm="1">
        <f t="array" ref="AK37">IFERROR(INDEX(서포터데이터!$C$3:$AAY$52, ROW()-ROW(AK$4)+1, MATCH(AK$3, 서포터데이터!$C$1:$AAY$1, 0)+AK$1), 0)</f>
        <v>0.45119999999999999</v>
      </c>
      <c r="AL37" s="24" cm="1">
        <f t="array" ref="AL37">IFERROR(INDEX(서포터데이터!$C$3:$AAY$52, ROW()-ROW(AL$4)+1, MATCH(AL$3, 서포터데이터!$C$1:$AAY$1, 0)+AL$1), 0)</f>
        <v>0.40039999999999998</v>
      </c>
      <c r="AM37" s="25" cm="1">
        <f t="array" ref="AM37">IFERROR(INDEX(서포터데이터!$C$3:$AAY$52, ROW()-ROW(AM$4)+1, MATCH(AM$3, 서포터데이터!$C$1:$AAY$1, 0)+AM$1), 0)</f>
        <v>0</v>
      </c>
    </row>
    <row r="38" spans="1:218" x14ac:dyDescent="0.45">
      <c r="A38" s="267"/>
      <c r="B38" s="158" t="s">
        <v>293</v>
      </c>
      <c r="C38" s="22"/>
      <c r="D38" s="61">
        <f t="shared" si="12"/>
        <v>0</v>
      </c>
      <c r="E38" s="24" cm="1">
        <f t="array" ref="E38">IFERROR(INDEX(딜러데이터!$C$3:$AAM$52, ROW()-ROW(E$4)+1, MATCH(E$3, 딜러데이터!$C$1:$AAM$1, 0)+E$1), 0)</f>
        <v>0</v>
      </c>
      <c r="F38" s="24" cm="1">
        <f t="array" ref="F38">IFERROR(INDEX(서포터데이터!$C$3:$AAY$52, ROW()-ROW(F$4)+1, MATCH(F$3, 서포터데이터!$C$1:$AAY$1, 0)+F$1), 0)</f>
        <v>0</v>
      </c>
      <c r="G38" s="24" cm="1">
        <f t="array" ref="G38">IFERROR(INDEX(서포터데이터!$C$3:$AAY$52, ROW()-ROW(G$4)+1, MATCH(G$3, 서포터데이터!$C$1:$AAY$1, 0)+G$1), 0)</f>
        <v>0</v>
      </c>
      <c r="H38" s="24" cm="1">
        <f t="array" ref="H38">IFERROR(INDEX(서포터데이터!$C$3:$AAY$52, ROW()-ROW(H$4)+1, MATCH(H$3, 서포터데이터!$C$1:$AAY$1, 0)+H$1), 0)</f>
        <v>0</v>
      </c>
      <c r="I38" s="25" cm="1">
        <f t="array" ref="I38">IFERROR(INDEX(서포터데이터!$C$3:$AAY$52, ROW()-ROW(I$4)+1, MATCH(I$3, 서포터데이터!$C$1:$AAY$1, 0)+I$1), 0)</f>
        <v>0</v>
      </c>
      <c r="J38" s="61">
        <f t="shared" si="11"/>
        <v>0</v>
      </c>
      <c r="K38" s="24" cm="1">
        <f t="array" ref="K38">IFERROR(INDEX(딜러데이터!$C$3:$AAM$52, ROW()-ROW(K$4)+1, MATCH(K$3, 딜러데이터!$C$1:$AAM$1, 0)+K$1), 0)</f>
        <v>0</v>
      </c>
      <c r="L38" s="24" cm="1">
        <f t="array" ref="L38">IFERROR(INDEX(서포터데이터!$C$3:$AAY$52, ROW()-ROW(L$4)+1, MATCH(L$3, 서포터데이터!$C$1:$AAY$1, 0)+L$1), 0)</f>
        <v>0</v>
      </c>
      <c r="M38" s="24" cm="1">
        <f t="array" ref="M38">IFERROR(INDEX(서포터데이터!$C$3:$AAY$52, ROW()-ROW(M$4)+1, MATCH(M$3, 서포터데이터!$C$1:$AAY$1, 0)+M$1), 0)</f>
        <v>0</v>
      </c>
      <c r="N38" s="24" cm="1">
        <f t="array" ref="N38">IFERROR(INDEX(서포터데이터!$C$3:$AAY$52, ROW()-ROW(N$4)+1, MATCH(N$3, 서포터데이터!$C$1:$AAY$1, 0)+N$1), 0)</f>
        <v>0</v>
      </c>
      <c r="O38" s="25" cm="1">
        <f t="array" ref="O38">IFERROR(INDEX(서포터데이터!$C$3:$AAY$52, ROW()-ROW(O$4)+1, MATCH(O$3, 서포터데이터!$C$1:$AAY$1, 0)+O$1), 0)</f>
        <v>0</v>
      </c>
      <c r="P38" s="61">
        <f t="shared" si="7"/>
        <v>0</v>
      </c>
      <c r="Q38" s="24" cm="1">
        <f t="array" ref="Q38">IFERROR(INDEX(딜러데이터!$C$3:$AAM$52, ROW()-ROW(Q$4)+1, MATCH(Q$3, 딜러데이터!$C$1:$AAM$1, 0)+Q$1), 0)</f>
        <v>0</v>
      </c>
      <c r="R38" s="24" cm="1">
        <f t="array" ref="R38">IFERROR(INDEX(서포터데이터!$C$3:$AAY$52, ROW()-ROW(R$4)+1, MATCH(R$3, 서포터데이터!$C$1:$AAY$1, 0)+R$1), 0)</f>
        <v>0</v>
      </c>
      <c r="S38" s="24" cm="1">
        <f t="array" ref="S38">IFERROR(INDEX(서포터데이터!$C$3:$AAY$52, ROW()-ROW(S$4)+1, MATCH(S$3, 서포터데이터!$C$1:$AAY$1, 0)+S$1), 0)</f>
        <v>0</v>
      </c>
      <c r="T38" s="24" cm="1">
        <f t="array" ref="T38">IFERROR(INDEX(서포터데이터!$C$3:$AAY$52, ROW()-ROW(T$4)+1, MATCH(T$3, 서포터데이터!$C$1:$AAY$1, 0)+T$1), 0)</f>
        <v>0</v>
      </c>
      <c r="U38" s="25" cm="1">
        <f t="array" ref="U38">IFERROR(INDEX(서포터데이터!$C$3:$AAY$52, ROW()-ROW(U$4)+1, MATCH(U$3, 서포터데이터!$C$1:$AAY$1, 0)+U$1), 0)</f>
        <v>0</v>
      </c>
      <c r="V38" s="61">
        <f t="shared" si="8"/>
        <v>0</v>
      </c>
      <c r="W38" s="24" cm="1">
        <f t="array" ref="W38">IFERROR(INDEX(딜러데이터!$C$3:$AAM$52, ROW()-ROW(W$4)+1, MATCH(W$3, 딜러데이터!$C$1:$AAM$1, 0)+W$1), 0)</f>
        <v>0</v>
      </c>
      <c r="X38" s="24" cm="1">
        <f t="array" ref="X38">IFERROR(INDEX(서포터데이터!$C$3:$AAY$52, ROW()-ROW(X$4)+1, MATCH(X$3, 서포터데이터!$C$1:$AAY$1, 0)+X$1), 0)</f>
        <v>0</v>
      </c>
      <c r="Y38" s="24" cm="1">
        <f t="array" ref="Y38">IFERROR(INDEX(서포터데이터!$C$3:$AAY$52, ROW()-ROW(Y$4)+1, MATCH(Y$3, 서포터데이터!$C$1:$AAY$1, 0)+Y$1), 0)</f>
        <v>0</v>
      </c>
      <c r="Z38" s="24" cm="1">
        <f t="array" ref="Z38">IFERROR(INDEX(서포터데이터!$C$3:$AAY$52, ROW()-ROW(Z$4)+1, MATCH(Z$3, 서포터데이터!$C$1:$AAY$1, 0)+Z$1), 0)</f>
        <v>0</v>
      </c>
      <c r="AA38" s="25" cm="1">
        <f t="array" ref="AA38">IFERROR(INDEX(서포터데이터!$C$3:$AAY$52, ROW()-ROW(AA$4)+1, MATCH(AA$3, 서포터데이터!$C$1:$AAY$1, 0)+AA$1), 0)</f>
        <v>0</v>
      </c>
      <c r="AB38" s="61">
        <f t="shared" si="9"/>
        <v>0</v>
      </c>
      <c r="AC38" s="24" cm="1">
        <f t="array" ref="AC38">IFERROR(INDEX(딜러데이터!$C$3:$AAM$52, ROW()-ROW(AC$4)+1, MATCH(AC$3, 딜러데이터!$C$1:$AAM$1, 0)+AC$1), 0)</f>
        <v>0</v>
      </c>
      <c r="AD38" s="24" cm="1">
        <f t="array" ref="AD38">IFERROR(INDEX(서포터데이터!$C$3:$AAY$52, ROW()-ROW(AD$4)+1, MATCH(AD$3, 서포터데이터!$C$1:$AAY$1, 0)+AD$1), 0)</f>
        <v>0</v>
      </c>
      <c r="AE38" s="24" cm="1">
        <f t="array" ref="AE38">IFERROR(INDEX(서포터데이터!$C$3:$AAY$52, ROW()-ROW(AE$4)+1, MATCH(AE$3, 서포터데이터!$C$1:$AAY$1, 0)+AE$1), 0)</f>
        <v>0</v>
      </c>
      <c r="AF38" s="24" cm="1">
        <f t="array" ref="AF38">IFERROR(INDEX(서포터데이터!$C$3:$AAY$52, ROW()-ROW(AF$4)+1, MATCH(AF$3, 서포터데이터!$C$1:$AAY$1, 0)+AF$1), 0)</f>
        <v>0</v>
      </c>
      <c r="AG38" s="25" cm="1">
        <f t="array" ref="AG38">IFERROR(INDEX(서포터데이터!$C$3:$AAY$52, ROW()-ROW(AG$4)+1, MATCH(AG$3, 서포터데이터!$C$1:$AAY$1, 0)+AG$1), 0)</f>
        <v>0</v>
      </c>
      <c r="AH38" s="61">
        <f t="shared" si="10"/>
        <v>0</v>
      </c>
      <c r="AI38" s="24" cm="1">
        <f t="array" ref="AI38">IFERROR(INDEX(딜러데이터!$C$3:$AAM$52, ROW()-ROW(AI$4)+1, MATCH(AI$3, 딜러데이터!$C$1:$AAM$1, 0)+AI$1), 0)</f>
        <v>0</v>
      </c>
      <c r="AJ38" s="24" cm="1">
        <f t="array" ref="AJ38">IFERROR(INDEX(서포터데이터!$C$3:$AAY$52, ROW()-ROW(AJ$4)+1, MATCH(AJ$3, 서포터데이터!$C$1:$AAY$1, 0)+AJ$1), 0)</f>
        <v>0</v>
      </c>
      <c r="AK38" s="24" cm="1">
        <f t="array" ref="AK38">IFERROR(INDEX(서포터데이터!$C$3:$AAY$52, ROW()-ROW(AK$4)+1, MATCH(AK$3, 서포터데이터!$C$1:$AAY$1, 0)+AK$1), 0)</f>
        <v>0</v>
      </c>
      <c r="AL38" s="24" cm="1">
        <f t="array" ref="AL38">IFERROR(INDEX(서포터데이터!$C$3:$AAY$52, ROW()-ROW(AL$4)+1, MATCH(AL$3, 서포터데이터!$C$1:$AAY$1, 0)+AL$1), 0)</f>
        <v>0</v>
      </c>
      <c r="AM38" s="25" cm="1">
        <f t="array" ref="AM38">IFERROR(INDEX(서포터데이터!$C$3:$AAY$52, ROW()-ROW(AM$4)+1, MATCH(AM$3, 서포터데이터!$C$1:$AAY$1, 0)+AM$1), 0)</f>
        <v>0</v>
      </c>
    </row>
    <row r="39" spans="1:218" x14ac:dyDescent="0.45">
      <c r="A39" s="267"/>
      <c r="B39" s="158" t="s">
        <v>294</v>
      </c>
      <c r="C39" s="22"/>
      <c r="D39" s="61">
        <f t="shared" si="12"/>
        <v>0</v>
      </c>
      <c r="E39" s="24" cm="1">
        <f t="array" ref="E39">IFERROR(INDEX(딜러데이터!$C$3:$AAM$52, ROW()-ROW(E$4)+1, MATCH(E$3, 딜러데이터!$C$1:$AAM$1, 0)+E$1), 0)</f>
        <v>0</v>
      </c>
      <c r="F39" s="24" cm="1">
        <f t="array" ref="F39">IFERROR(INDEX(서포터데이터!$C$3:$AAY$52, ROW()-ROW(F$4)+1, MATCH(F$3, 서포터데이터!$C$1:$AAY$1, 0)+F$1), 0)</f>
        <v>0</v>
      </c>
      <c r="G39" s="24" cm="1">
        <f t="array" ref="G39">IFERROR(INDEX(서포터데이터!$C$3:$AAY$52, ROW()-ROW(G$4)+1, MATCH(G$3, 서포터데이터!$C$1:$AAY$1, 0)+G$1), 0)</f>
        <v>0</v>
      </c>
      <c r="H39" s="24" cm="1">
        <f t="array" ref="H39">IFERROR(INDEX(서포터데이터!$C$3:$AAY$52, ROW()-ROW(H$4)+1, MATCH(H$3, 서포터데이터!$C$1:$AAY$1, 0)+H$1), 0)</f>
        <v>0</v>
      </c>
      <c r="I39" s="25" cm="1">
        <f t="array" ref="I39">IFERROR(INDEX(서포터데이터!$C$3:$AAY$52, ROW()-ROW(I$4)+1, MATCH(I$3, 서포터데이터!$C$1:$AAY$1, 0)+I$1), 0)</f>
        <v>0</v>
      </c>
      <c r="J39" s="61">
        <f t="shared" si="11"/>
        <v>0</v>
      </c>
      <c r="K39" s="24" cm="1">
        <f t="array" ref="K39">IFERROR(INDEX(딜러데이터!$C$3:$AAM$52, ROW()-ROW(K$4)+1, MATCH(K$3, 딜러데이터!$C$1:$AAM$1, 0)+K$1), 0)</f>
        <v>0</v>
      </c>
      <c r="L39" s="24" cm="1">
        <f t="array" ref="L39">IFERROR(INDEX(서포터데이터!$C$3:$AAY$52, ROW()-ROW(L$4)+1, MATCH(L$3, 서포터데이터!$C$1:$AAY$1, 0)+L$1), 0)</f>
        <v>0</v>
      </c>
      <c r="M39" s="24" cm="1">
        <f t="array" ref="M39">IFERROR(INDEX(서포터데이터!$C$3:$AAY$52, ROW()-ROW(M$4)+1, MATCH(M$3, 서포터데이터!$C$1:$AAY$1, 0)+M$1), 0)</f>
        <v>0</v>
      </c>
      <c r="N39" s="24" cm="1">
        <f t="array" ref="N39">IFERROR(INDEX(서포터데이터!$C$3:$AAY$52, ROW()-ROW(N$4)+1, MATCH(N$3, 서포터데이터!$C$1:$AAY$1, 0)+N$1), 0)</f>
        <v>0</v>
      </c>
      <c r="O39" s="25" cm="1">
        <f t="array" ref="O39">IFERROR(INDEX(서포터데이터!$C$3:$AAY$52, ROW()-ROW(O$4)+1, MATCH(O$3, 서포터데이터!$C$1:$AAY$1, 0)+O$1), 0)</f>
        <v>0</v>
      </c>
      <c r="P39" s="61">
        <f t="shared" si="7"/>
        <v>0</v>
      </c>
      <c r="Q39" s="24" cm="1">
        <f t="array" ref="Q39">IFERROR(INDEX(딜러데이터!$C$3:$AAM$52, ROW()-ROW(Q$4)+1, MATCH(Q$3, 딜러데이터!$C$1:$AAM$1, 0)+Q$1), 0)</f>
        <v>0</v>
      </c>
      <c r="R39" s="24" cm="1">
        <f t="array" ref="R39">IFERROR(INDEX(서포터데이터!$C$3:$AAY$52, ROW()-ROW(R$4)+1, MATCH(R$3, 서포터데이터!$C$1:$AAY$1, 0)+R$1), 0)</f>
        <v>0</v>
      </c>
      <c r="S39" s="24" cm="1">
        <f t="array" ref="S39">IFERROR(INDEX(서포터데이터!$C$3:$AAY$52, ROW()-ROW(S$4)+1, MATCH(S$3, 서포터데이터!$C$1:$AAY$1, 0)+S$1), 0)</f>
        <v>0</v>
      </c>
      <c r="T39" s="24" cm="1">
        <f t="array" ref="T39">IFERROR(INDEX(서포터데이터!$C$3:$AAY$52, ROW()-ROW(T$4)+1, MATCH(T$3, 서포터데이터!$C$1:$AAY$1, 0)+T$1), 0)</f>
        <v>0</v>
      </c>
      <c r="U39" s="25" cm="1">
        <f t="array" ref="U39">IFERROR(INDEX(서포터데이터!$C$3:$AAY$52, ROW()-ROW(U$4)+1, MATCH(U$3, 서포터데이터!$C$1:$AAY$1, 0)+U$1), 0)</f>
        <v>0</v>
      </c>
      <c r="V39" s="61">
        <f t="shared" si="8"/>
        <v>0</v>
      </c>
      <c r="W39" s="24" cm="1">
        <f t="array" ref="W39">IFERROR(INDEX(딜러데이터!$C$3:$AAM$52, ROW()-ROW(W$4)+1, MATCH(W$3, 딜러데이터!$C$1:$AAM$1, 0)+W$1), 0)</f>
        <v>0</v>
      </c>
      <c r="X39" s="24" cm="1">
        <f t="array" ref="X39">IFERROR(INDEX(서포터데이터!$C$3:$AAY$52, ROW()-ROW(X$4)+1, MATCH(X$3, 서포터데이터!$C$1:$AAY$1, 0)+X$1), 0)</f>
        <v>0</v>
      </c>
      <c r="Y39" s="24" cm="1">
        <f t="array" ref="Y39">IFERROR(INDEX(서포터데이터!$C$3:$AAY$52, ROW()-ROW(Y$4)+1, MATCH(Y$3, 서포터데이터!$C$1:$AAY$1, 0)+Y$1), 0)</f>
        <v>0</v>
      </c>
      <c r="Z39" s="24" cm="1">
        <f t="array" ref="Z39">IFERROR(INDEX(서포터데이터!$C$3:$AAY$52, ROW()-ROW(Z$4)+1, MATCH(Z$3, 서포터데이터!$C$1:$AAY$1, 0)+Z$1), 0)</f>
        <v>0</v>
      </c>
      <c r="AA39" s="25" cm="1">
        <f t="array" ref="AA39">IFERROR(INDEX(서포터데이터!$C$3:$AAY$52, ROW()-ROW(AA$4)+1, MATCH(AA$3, 서포터데이터!$C$1:$AAY$1, 0)+AA$1), 0)</f>
        <v>0</v>
      </c>
      <c r="AB39" s="61">
        <f t="shared" si="9"/>
        <v>0</v>
      </c>
      <c r="AC39" s="24" cm="1">
        <f t="array" ref="AC39">IFERROR(INDEX(딜러데이터!$C$3:$AAM$52, ROW()-ROW(AC$4)+1, MATCH(AC$3, 딜러데이터!$C$1:$AAM$1, 0)+AC$1), 0)</f>
        <v>0</v>
      </c>
      <c r="AD39" s="24" cm="1">
        <f t="array" ref="AD39">IFERROR(INDEX(서포터데이터!$C$3:$AAY$52, ROW()-ROW(AD$4)+1, MATCH(AD$3, 서포터데이터!$C$1:$AAY$1, 0)+AD$1), 0)</f>
        <v>0</v>
      </c>
      <c r="AE39" s="24" cm="1">
        <f t="array" ref="AE39">IFERROR(INDEX(서포터데이터!$C$3:$AAY$52, ROW()-ROW(AE$4)+1, MATCH(AE$3, 서포터데이터!$C$1:$AAY$1, 0)+AE$1), 0)</f>
        <v>0</v>
      </c>
      <c r="AF39" s="24" cm="1">
        <f t="array" ref="AF39">IFERROR(INDEX(서포터데이터!$C$3:$AAY$52, ROW()-ROW(AF$4)+1, MATCH(AF$3, 서포터데이터!$C$1:$AAY$1, 0)+AF$1), 0)</f>
        <v>0</v>
      </c>
      <c r="AG39" s="25" cm="1">
        <f t="array" ref="AG39">IFERROR(INDEX(서포터데이터!$C$3:$AAY$52, ROW()-ROW(AG$4)+1, MATCH(AG$3, 서포터데이터!$C$1:$AAY$1, 0)+AG$1), 0)</f>
        <v>0</v>
      </c>
      <c r="AH39" s="61">
        <f t="shared" si="10"/>
        <v>0</v>
      </c>
      <c r="AI39" s="24" cm="1">
        <f t="array" ref="AI39">IFERROR(INDEX(딜러데이터!$C$3:$AAM$52, ROW()-ROW(AI$4)+1, MATCH(AI$3, 딜러데이터!$C$1:$AAM$1, 0)+AI$1), 0)</f>
        <v>0</v>
      </c>
      <c r="AJ39" s="24" cm="1">
        <f t="array" ref="AJ39">IFERROR(INDEX(서포터데이터!$C$3:$AAY$52, ROW()-ROW(AJ$4)+1, MATCH(AJ$3, 서포터데이터!$C$1:$AAY$1, 0)+AJ$1), 0)</f>
        <v>0</v>
      </c>
      <c r="AK39" s="24" cm="1">
        <f t="array" ref="AK39">IFERROR(INDEX(서포터데이터!$C$3:$AAY$52, ROW()-ROW(AK$4)+1, MATCH(AK$3, 서포터데이터!$C$1:$AAY$1, 0)+AK$1), 0)</f>
        <v>0</v>
      </c>
      <c r="AL39" s="24" cm="1">
        <f t="array" ref="AL39">IFERROR(INDEX(서포터데이터!$C$3:$AAY$52, ROW()-ROW(AL$4)+1, MATCH(AL$3, 서포터데이터!$C$1:$AAY$1, 0)+AL$1), 0)</f>
        <v>0</v>
      </c>
      <c r="AM39" s="25" cm="1">
        <f t="array" ref="AM39">IFERROR(INDEX(서포터데이터!$C$3:$AAY$52, ROW()-ROW(AM$4)+1, MATCH(AM$3, 서포터데이터!$C$1:$AAY$1, 0)+AM$1), 0)</f>
        <v>0</v>
      </c>
    </row>
    <row r="40" spans="1:218" x14ac:dyDescent="0.45">
      <c r="A40" s="267"/>
      <c r="B40" s="158" t="s">
        <v>295</v>
      </c>
      <c r="C40" s="22">
        <f>메인!C25</f>
        <v>0</v>
      </c>
      <c r="D40" s="61">
        <f t="shared" si="12"/>
        <v>0.1013</v>
      </c>
      <c r="E40" s="24" cm="1">
        <f t="array" ref="E40">IFERROR(INDEX(딜러데이터!$C$3:$AAM$52, ROW()-ROW(E$4)+1, MATCH(E$3, 딜러데이터!$C$1:$AAM$1, 0)+E$1), 0)</f>
        <v>0</v>
      </c>
      <c r="F40" s="24" cm="1">
        <f t="array" ref="F40">IFERROR(INDEX(서포터데이터!$C$3:$AAY$52, ROW()-ROW(F$4)+1, MATCH(F$3, 서포터데이터!$C$1:$AAY$1, 0)+F$1), 0)</f>
        <v>0</v>
      </c>
      <c r="G40" s="24" cm="1">
        <f t="array" ref="G40">IFERROR(INDEX(서포터데이터!$C$3:$AAY$52, ROW()-ROW(G$4)+1, MATCH(G$3, 서포터데이터!$C$1:$AAY$1, 0)+G$1), 0)</f>
        <v>0</v>
      </c>
      <c r="H40" s="24" cm="1">
        <f t="array" ref="H40">IFERROR(INDEX(서포터데이터!$C$3:$AAY$52, ROW()-ROW(H$4)+1, MATCH(H$3, 서포터데이터!$C$1:$AAY$1, 0)+H$1), 0)</f>
        <v>0.1013</v>
      </c>
      <c r="I40" s="25" cm="1">
        <f t="array" ref="I40">IFERROR(INDEX(서포터데이터!$C$3:$AAY$52, ROW()-ROW(I$4)+1, MATCH(I$3, 서포터데이터!$C$1:$AAY$1, 0)+I$1), 0)</f>
        <v>0</v>
      </c>
      <c r="J40" s="61">
        <f t="shared" si="11"/>
        <v>0.1013</v>
      </c>
      <c r="K40" s="24" cm="1">
        <f t="array" ref="K40">IFERROR(INDEX(딜러데이터!$C$3:$AAM$52, ROW()-ROW(K$4)+1, MATCH(K$3, 딜러데이터!$C$1:$AAM$1, 0)+K$1), 0)</f>
        <v>0</v>
      </c>
      <c r="L40" s="24" cm="1">
        <f t="array" ref="L40">IFERROR(INDEX(서포터데이터!$C$3:$AAY$52, ROW()-ROW(L$4)+1, MATCH(L$3, 서포터데이터!$C$1:$AAY$1, 0)+L$1), 0)</f>
        <v>0</v>
      </c>
      <c r="M40" s="24" cm="1">
        <f t="array" ref="M40">IFERROR(INDEX(서포터데이터!$C$3:$AAY$52, ROW()-ROW(M$4)+1, MATCH(M$3, 서포터데이터!$C$1:$AAY$1, 0)+M$1), 0)</f>
        <v>0</v>
      </c>
      <c r="N40" s="24" cm="1">
        <f t="array" ref="N40">IFERROR(INDEX(서포터데이터!$C$3:$AAY$52, ROW()-ROW(N$4)+1, MATCH(N$3, 서포터데이터!$C$1:$AAY$1, 0)+N$1), 0)</f>
        <v>0.1013</v>
      </c>
      <c r="O40" s="25" cm="1">
        <f t="array" ref="O40">IFERROR(INDEX(서포터데이터!$C$3:$AAY$52, ROW()-ROW(O$4)+1, MATCH(O$3, 서포터데이터!$C$1:$AAY$1, 0)+O$1), 0)</f>
        <v>0</v>
      </c>
      <c r="P40" s="61">
        <f t="shared" si="7"/>
        <v>0</v>
      </c>
      <c r="Q40" s="24" cm="1">
        <f t="array" ref="Q40">IFERROR(INDEX(딜러데이터!$C$3:$AAM$52, ROW()-ROW(Q$4)+1, MATCH(Q$3, 딜러데이터!$C$1:$AAM$1, 0)+Q$1), 0)</f>
        <v>0</v>
      </c>
      <c r="R40" s="24" cm="1">
        <f t="array" ref="R40">IFERROR(INDEX(서포터데이터!$C$3:$AAY$52, ROW()-ROW(R$4)+1, MATCH(R$3, 서포터데이터!$C$1:$AAY$1, 0)+R$1), 0)</f>
        <v>0</v>
      </c>
      <c r="S40" s="24" cm="1">
        <f t="array" ref="S40">IFERROR(INDEX(서포터데이터!$C$3:$AAY$52, ROW()-ROW(S$4)+1, MATCH(S$3, 서포터데이터!$C$1:$AAY$1, 0)+S$1), 0)</f>
        <v>0</v>
      </c>
      <c r="T40" s="24" cm="1">
        <f t="array" ref="T40">IFERROR(INDEX(서포터데이터!$C$3:$AAY$52, ROW()-ROW(T$4)+1, MATCH(T$3, 서포터데이터!$C$1:$AAY$1, 0)+T$1), 0)</f>
        <v>0</v>
      </c>
      <c r="U40" s="25" cm="1">
        <f t="array" ref="U40">IFERROR(INDEX(서포터데이터!$C$3:$AAY$52, ROW()-ROW(U$4)+1, MATCH(U$3, 서포터데이터!$C$1:$AAY$1, 0)+U$1), 0)</f>
        <v>0</v>
      </c>
      <c r="V40" s="61">
        <f t="shared" si="8"/>
        <v>0.1013</v>
      </c>
      <c r="W40" s="24" cm="1">
        <f t="array" ref="W40">IFERROR(INDEX(딜러데이터!$C$3:$AAM$52, ROW()-ROW(W$4)+1, MATCH(W$3, 딜러데이터!$C$1:$AAM$1, 0)+W$1), 0)</f>
        <v>0</v>
      </c>
      <c r="X40" s="24" cm="1">
        <f t="array" ref="X40">IFERROR(INDEX(서포터데이터!$C$3:$AAY$52, ROW()-ROW(X$4)+1, MATCH(X$3, 서포터데이터!$C$1:$AAY$1, 0)+X$1), 0)</f>
        <v>0</v>
      </c>
      <c r="Y40" s="24" cm="1">
        <f t="array" ref="Y40">IFERROR(INDEX(서포터데이터!$C$3:$AAY$52, ROW()-ROW(Y$4)+1, MATCH(Y$3, 서포터데이터!$C$1:$AAY$1, 0)+Y$1), 0)</f>
        <v>0</v>
      </c>
      <c r="Z40" s="24" cm="1">
        <f t="array" ref="Z40">IFERROR(INDEX(서포터데이터!$C$3:$AAY$52, ROW()-ROW(Z$4)+1, MATCH(Z$3, 서포터데이터!$C$1:$AAY$1, 0)+Z$1), 0)</f>
        <v>0.1013</v>
      </c>
      <c r="AA40" s="25" cm="1">
        <f t="array" ref="AA40">IFERROR(INDEX(서포터데이터!$C$3:$AAY$52, ROW()-ROW(AA$4)+1, MATCH(AA$3, 서포터데이터!$C$1:$AAY$1, 0)+AA$1), 0)</f>
        <v>0</v>
      </c>
      <c r="AB40" s="61">
        <f t="shared" si="9"/>
        <v>0.1013</v>
      </c>
      <c r="AC40" s="24" cm="1">
        <f t="array" ref="AC40">IFERROR(INDEX(딜러데이터!$C$3:$AAM$52, ROW()-ROW(AC$4)+1, MATCH(AC$3, 딜러데이터!$C$1:$AAM$1, 0)+AC$1), 0)</f>
        <v>0</v>
      </c>
      <c r="AD40" s="24" cm="1">
        <f t="array" ref="AD40">IFERROR(INDEX(서포터데이터!$C$3:$AAY$52, ROW()-ROW(AD$4)+1, MATCH(AD$3, 서포터데이터!$C$1:$AAY$1, 0)+AD$1), 0)</f>
        <v>0</v>
      </c>
      <c r="AE40" s="24" cm="1">
        <f t="array" ref="AE40">IFERROR(INDEX(서포터데이터!$C$3:$AAY$52, ROW()-ROW(AE$4)+1, MATCH(AE$3, 서포터데이터!$C$1:$AAY$1, 0)+AE$1), 0)</f>
        <v>0</v>
      </c>
      <c r="AF40" s="24" cm="1">
        <f t="array" ref="AF40">IFERROR(INDEX(서포터데이터!$C$3:$AAY$52, ROW()-ROW(AF$4)+1, MATCH(AF$3, 서포터데이터!$C$1:$AAY$1, 0)+AF$1), 0)</f>
        <v>0.1013</v>
      </c>
      <c r="AG40" s="25" cm="1">
        <f t="array" ref="AG40">IFERROR(INDEX(서포터데이터!$C$3:$AAY$52, ROW()-ROW(AG$4)+1, MATCH(AG$3, 서포터데이터!$C$1:$AAY$1, 0)+AG$1), 0)</f>
        <v>0</v>
      </c>
      <c r="AH40" s="61">
        <f t="shared" si="10"/>
        <v>0</v>
      </c>
      <c r="AI40" s="24" cm="1">
        <f t="array" ref="AI40">IFERROR(INDEX(딜러데이터!$C$3:$AAM$52, ROW()-ROW(AI$4)+1, MATCH(AI$3, 딜러데이터!$C$1:$AAM$1, 0)+AI$1), 0)</f>
        <v>0</v>
      </c>
      <c r="AJ40" s="24" cm="1">
        <f t="array" ref="AJ40">IFERROR(INDEX(서포터데이터!$C$3:$AAY$52, ROW()-ROW(AJ$4)+1, MATCH(AJ$3, 서포터데이터!$C$1:$AAY$1, 0)+AJ$1), 0)</f>
        <v>0</v>
      </c>
      <c r="AK40" s="24" cm="1">
        <f t="array" ref="AK40">IFERROR(INDEX(서포터데이터!$C$3:$AAY$52, ROW()-ROW(AK$4)+1, MATCH(AK$3, 서포터데이터!$C$1:$AAY$1, 0)+AK$1), 0)</f>
        <v>0</v>
      </c>
      <c r="AL40" s="24" cm="1">
        <f t="array" ref="AL40">IFERROR(INDEX(서포터데이터!$C$3:$AAY$52, ROW()-ROW(AL$4)+1, MATCH(AL$3, 서포터데이터!$C$1:$AAY$1, 0)+AL$1), 0)</f>
        <v>0</v>
      </c>
      <c r="AM40" s="25" cm="1">
        <f t="array" ref="AM40">IFERROR(INDEX(서포터데이터!$C$3:$AAY$52, ROW()-ROW(AM$4)+1, MATCH(AM$3, 서포터데이터!$C$1:$AAY$1, 0)+AM$1), 0)</f>
        <v>0</v>
      </c>
    </row>
    <row r="41" spans="1:218" x14ac:dyDescent="0.45">
      <c r="A41" s="267"/>
      <c r="B41" s="158" t="s">
        <v>296</v>
      </c>
      <c r="C41" s="22">
        <v>0.17</v>
      </c>
      <c r="D41" s="63">
        <f t="shared" si="12"/>
        <v>0.17</v>
      </c>
      <c r="E41" s="26" cm="1">
        <f t="array" ref="E41">IFERROR(INDEX(딜러데이터!$C$3:$AAM$52, ROW()-ROW(E$4)+1, MATCH(E$3, 딜러데이터!$C$1:$AAM$1, 0)+E$1), 0)</f>
        <v>0</v>
      </c>
      <c r="F41" s="26" cm="1">
        <f t="array" ref="F41">IFERROR(INDEX(서포터데이터!$C$3:$AAY$52, ROW()-ROW(F$4)+1, MATCH(F$3, 서포터데이터!$C$1:$AAY$1, 0)+F$1), 0)</f>
        <v>0</v>
      </c>
      <c r="G41" s="26" cm="1">
        <f t="array" ref="G41">IFERROR(INDEX(서포터데이터!$C$3:$AAY$52, ROW()-ROW(G$4)+1, MATCH(G$3, 서포터데이터!$C$1:$AAY$1, 0)+G$1), 0)</f>
        <v>0</v>
      </c>
      <c r="H41" s="26" cm="1">
        <f t="array" ref="H41">IFERROR(INDEX(서포터데이터!$C$3:$AAY$52, ROW()-ROW(H$4)+1, MATCH(H$3, 서포터데이터!$C$1:$AAY$1, 0)+H$1), 0)</f>
        <v>0</v>
      </c>
      <c r="I41" s="27" cm="1">
        <f t="array" ref="I41">IFERROR(INDEX(서포터데이터!$C$3:$AAY$52, ROW()-ROW(I$4)+1, MATCH(I$3, 서포터데이터!$C$1:$AAY$1, 0)+I$1), 0)</f>
        <v>0</v>
      </c>
      <c r="J41" s="63">
        <f t="shared" si="11"/>
        <v>0.17</v>
      </c>
      <c r="K41" s="26" cm="1">
        <f t="array" ref="K41">IFERROR(INDEX(딜러데이터!$C$3:$AAM$52, ROW()-ROW(K$4)+1, MATCH(K$3, 딜러데이터!$C$1:$AAM$1, 0)+K$1), 0)</f>
        <v>0</v>
      </c>
      <c r="L41" s="26" cm="1">
        <f t="array" ref="L41">IFERROR(INDEX(서포터데이터!$C$3:$AAY$52, ROW()-ROW(L$4)+1, MATCH(L$3, 서포터데이터!$C$1:$AAY$1, 0)+L$1), 0)</f>
        <v>0</v>
      </c>
      <c r="M41" s="26" cm="1">
        <f t="array" ref="M41">IFERROR(INDEX(서포터데이터!$C$3:$AAY$52, ROW()-ROW(M$4)+1, MATCH(M$3, 서포터데이터!$C$1:$AAY$1, 0)+M$1), 0)</f>
        <v>0</v>
      </c>
      <c r="N41" s="26" cm="1">
        <f t="array" ref="N41">IFERROR(INDEX(서포터데이터!$C$3:$AAY$52, ROW()-ROW(N$4)+1, MATCH(N$3, 서포터데이터!$C$1:$AAY$1, 0)+N$1), 0)</f>
        <v>0</v>
      </c>
      <c r="O41" s="27" cm="1">
        <f t="array" ref="O41">IFERROR(INDEX(서포터데이터!$C$3:$AAY$52, ROW()-ROW(O$4)+1, MATCH(O$3, 서포터데이터!$C$1:$AAY$1, 0)+O$1), 0)</f>
        <v>0</v>
      </c>
      <c r="P41" s="63">
        <f t="shared" si="7"/>
        <v>0.17</v>
      </c>
      <c r="Q41" s="26" cm="1">
        <f t="array" ref="Q41">IFERROR(INDEX(딜러데이터!$C$3:$AAM$52, ROW()-ROW(Q$4)+1, MATCH(Q$3, 딜러데이터!$C$1:$AAM$1, 0)+Q$1), 0)</f>
        <v>0</v>
      </c>
      <c r="R41" s="26" cm="1">
        <f t="array" ref="R41">IFERROR(INDEX(서포터데이터!$C$3:$AAY$52, ROW()-ROW(R$4)+1, MATCH(R$3, 서포터데이터!$C$1:$AAY$1, 0)+R$1), 0)</f>
        <v>0</v>
      </c>
      <c r="S41" s="26" cm="1">
        <f t="array" ref="S41">IFERROR(INDEX(서포터데이터!$C$3:$AAY$52, ROW()-ROW(S$4)+1, MATCH(S$3, 서포터데이터!$C$1:$AAY$1, 0)+S$1), 0)</f>
        <v>0</v>
      </c>
      <c r="T41" s="26" cm="1">
        <f t="array" ref="T41">IFERROR(INDEX(서포터데이터!$C$3:$AAY$52, ROW()-ROW(T$4)+1, MATCH(T$3, 서포터데이터!$C$1:$AAY$1, 0)+T$1), 0)</f>
        <v>0</v>
      </c>
      <c r="U41" s="27" cm="1">
        <f t="array" ref="U41">IFERROR(INDEX(서포터데이터!$C$3:$AAY$52, ROW()-ROW(U$4)+1, MATCH(U$3, 서포터데이터!$C$1:$AAY$1, 0)+U$1), 0)</f>
        <v>0</v>
      </c>
      <c r="V41" s="63">
        <f t="shared" si="8"/>
        <v>0.17</v>
      </c>
      <c r="W41" s="26" cm="1">
        <f t="array" ref="W41">IFERROR(INDEX(딜러데이터!$C$3:$AAM$52, ROW()-ROW(W$4)+1, MATCH(W$3, 딜러데이터!$C$1:$AAM$1, 0)+W$1), 0)</f>
        <v>0</v>
      </c>
      <c r="X41" s="26" cm="1">
        <f t="array" ref="X41">IFERROR(INDEX(서포터데이터!$C$3:$AAY$52, ROW()-ROW(X$4)+1, MATCH(X$3, 서포터데이터!$C$1:$AAY$1, 0)+X$1), 0)</f>
        <v>0</v>
      </c>
      <c r="Y41" s="26" cm="1">
        <f t="array" ref="Y41">IFERROR(INDEX(서포터데이터!$C$3:$AAY$52, ROW()-ROW(Y$4)+1, MATCH(Y$3, 서포터데이터!$C$1:$AAY$1, 0)+Y$1), 0)</f>
        <v>0</v>
      </c>
      <c r="Z41" s="26" cm="1">
        <f t="array" ref="Z41">IFERROR(INDEX(서포터데이터!$C$3:$AAY$52, ROW()-ROW(Z$4)+1, MATCH(Z$3, 서포터데이터!$C$1:$AAY$1, 0)+Z$1), 0)</f>
        <v>0</v>
      </c>
      <c r="AA41" s="27" cm="1">
        <f t="array" ref="AA41">IFERROR(INDEX(서포터데이터!$C$3:$AAY$52, ROW()-ROW(AA$4)+1, MATCH(AA$3, 서포터데이터!$C$1:$AAY$1, 0)+AA$1), 0)</f>
        <v>0</v>
      </c>
      <c r="AB41" s="63">
        <f t="shared" si="9"/>
        <v>0.17</v>
      </c>
      <c r="AC41" s="26" cm="1">
        <f t="array" ref="AC41">IFERROR(INDEX(딜러데이터!$C$3:$AAM$52, ROW()-ROW(AC$4)+1, MATCH(AC$3, 딜러데이터!$C$1:$AAM$1, 0)+AC$1), 0)</f>
        <v>0</v>
      </c>
      <c r="AD41" s="26" cm="1">
        <f t="array" ref="AD41">IFERROR(INDEX(서포터데이터!$C$3:$AAY$52, ROW()-ROW(AD$4)+1, MATCH(AD$3, 서포터데이터!$C$1:$AAY$1, 0)+AD$1), 0)</f>
        <v>0</v>
      </c>
      <c r="AE41" s="26" cm="1">
        <f t="array" ref="AE41">IFERROR(INDEX(서포터데이터!$C$3:$AAY$52, ROW()-ROW(AE$4)+1, MATCH(AE$3, 서포터데이터!$C$1:$AAY$1, 0)+AE$1), 0)</f>
        <v>0</v>
      </c>
      <c r="AF41" s="26" cm="1">
        <f t="array" ref="AF41">IFERROR(INDEX(서포터데이터!$C$3:$AAY$52, ROW()-ROW(AF$4)+1, MATCH(AF$3, 서포터데이터!$C$1:$AAY$1, 0)+AF$1), 0)</f>
        <v>0</v>
      </c>
      <c r="AG41" s="27" cm="1">
        <f t="array" ref="AG41">IFERROR(INDEX(서포터데이터!$C$3:$AAY$52, ROW()-ROW(AG$4)+1, MATCH(AG$3, 서포터데이터!$C$1:$AAY$1, 0)+AG$1), 0)</f>
        <v>0</v>
      </c>
      <c r="AH41" s="63">
        <f t="shared" si="10"/>
        <v>0.17</v>
      </c>
      <c r="AI41" s="26" cm="1">
        <f t="array" ref="AI41">IFERROR(INDEX(딜러데이터!$C$3:$AAM$52, ROW()-ROW(AI$4)+1, MATCH(AI$3, 딜러데이터!$C$1:$AAM$1, 0)+AI$1), 0)</f>
        <v>0</v>
      </c>
      <c r="AJ41" s="26" cm="1">
        <f t="array" ref="AJ41">IFERROR(INDEX(서포터데이터!$C$3:$AAY$52, ROW()-ROW(AJ$4)+1, MATCH(AJ$3, 서포터데이터!$C$1:$AAY$1, 0)+AJ$1), 0)</f>
        <v>0</v>
      </c>
      <c r="AK41" s="26" cm="1">
        <f t="array" ref="AK41">IFERROR(INDEX(서포터데이터!$C$3:$AAY$52, ROW()-ROW(AK$4)+1, MATCH(AK$3, 서포터데이터!$C$1:$AAY$1, 0)+AK$1), 0)</f>
        <v>0</v>
      </c>
      <c r="AL41" s="26" cm="1">
        <f t="array" ref="AL41">IFERROR(INDEX(서포터데이터!$C$3:$AAY$52, ROW()-ROW(AL$4)+1, MATCH(AL$3, 서포터데이터!$C$1:$AAY$1, 0)+AL$1), 0)</f>
        <v>0</v>
      </c>
      <c r="AM41" s="27" cm="1">
        <f t="array" ref="AM41">IFERROR(INDEX(서포터데이터!$C$3:$AAY$52, ROW()-ROW(AM$4)+1, MATCH(AM$3, 서포터데이터!$C$1:$AAY$1, 0)+AM$1), 0)</f>
        <v>0</v>
      </c>
    </row>
    <row r="42" spans="1:218" x14ac:dyDescent="0.45">
      <c r="B42" s="48" t="s">
        <v>318</v>
      </c>
    </row>
    <row r="43" spans="1:218" x14ac:dyDescent="0.45">
      <c r="B43" s="48" t="s">
        <v>298</v>
      </c>
    </row>
    <row r="44" spans="1:218" x14ac:dyDescent="0.45">
      <c r="B44" s="48" t="s">
        <v>299</v>
      </c>
    </row>
    <row r="45" spans="1:218" x14ac:dyDescent="0.45">
      <c r="B45" s="48" t="s">
        <v>300</v>
      </c>
    </row>
    <row r="46" spans="1:218" x14ac:dyDescent="0.45">
      <c r="B46" s="17" t="s">
        <v>301</v>
      </c>
    </row>
    <row r="47" spans="1:218" x14ac:dyDescent="0.45">
      <c r="B47" s="17" t="s">
        <v>302</v>
      </c>
    </row>
    <row r="48" spans="1:218" x14ac:dyDescent="0.45">
      <c r="B48" s="15" t="s">
        <v>303</v>
      </c>
    </row>
    <row r="49" spans="2:2" x14ac:dyDescent="0.45">
      <c r="B49" s="15" t="s">
        <v>304</v>
      </c>
    </row>
  </sheetData>
  <mergeCells count="8">
    <mergeCell ref="A30:A32"/>
    <mergeCell ref="A33:A41"/>
    <mergeCell ref="A4:A6"/>
    <mergeCell ref="A21:A24"/>
    <mergeCell ref="A27:A29"/>
    <mergeCell ref="A25:A26"/>
    <mergeCell ref="A9:A19"/>
    <mergeCell ref="A7:A8"/>
  </mergeCells>
  <phoneticPr fontId="2"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3A8B1-1DFF-4840-96C5-B2E87DBA1DF3}">
  <dimension ref="A1:NJ79"/>
  <sheetViews>
    <sheetView zoomScale="70" zoomScaleNormal="70" zoomScaleSheetLayoutView="100" workbookViewId="0">
      <pane xSplit="2" topLeftCell="T1" activePane="topRight" state="frozen"/>
      <selection activeCell="A35" sqref="A35"/>
      <selection pane="topRight" activeCell="AI6" sqref="AI6:AL6"/>
    </sheetView>
  </sheetViews>
  <sheetFormatPr defaultColWidth="8.58203125" defaultRowHeight="17" x14ac:dyDescent="0.45"/>
  <cols>
    <col min="1" max="1" width="16.33203125" style="8" bestFit="1" customWidth="1"/>
    <col min="2" max="2" width="23" style="15" bestFit="1" customWidth="1"/>
    <col min="3" max="3" width="9.08203125" style="14" bestFit="1" customWidth="1"/>
    <col min="4" max="4" width="9" style="14" bestFit="1" customWidth="1"/>
    <col min="5" max="6" width="8.58203125" style="14"/>
    <col min="7" max="7" width="9" style="14" bestFit="1" customWidth="1"/>
    <col min="8" max="8" width="8.58203125" style="15"/>
    <col min="9" max="9" width="9.08203125" style="14" bestFit="1" customWidth="1"/>
    <col min="10" max="10" width="9" style="14" bestFit="1" customWidth="1"/>
    <col min="11" max="12" width="8.58203125" style="14"/>
    <col min="13" max="13" width="9" style="14" bestFit="1" customWidth="1"/>
    <col min="14" max="14" width="8.58203125" style="15"/>
    <col min="15" max="15" width="9.08203125" style="14" bestFit="1" customWidth="1"/>
    <col min="16" max="16" width="9" style="14" bestFit="1" customWidth="1"/>
    <col min="17" max="18" width="8.58203125" style="14"/>
    <col min="19" max="19" width="9" style="14" bestFit="1" customWidth="1"/>
    <col min="20" max="20" width="8.58203125" style="15"/>
    <col min="21" max="21" width="9" style="14" customWidth="1"/>
    <col min="22" max="22" width="9" style="14" bestFit="1" customWidth="1"/>
    <col min="23" max="23" width="8.58203125" style="14"/>
    <col min="24" max="24" width="9" style="14" customWidth="1"/>
    <col min="25" max="25" width="9" style="14" bestFit="1" customWidth="1"/>
    <col min="26" max="26" width="8.58203125" style="15"/>
    <col min="27" max="27" width="9.08203125" style="14" bestFit="1" customWidth="1"/>
    <col min="28" max="28" width="9" style="14" bestFit="1" customWidth="1"/>
    <col min="29" max="30" width="8.58203125" style="14"/>
    <col min="31" max="31" width="9" style="14" bestFit="1" customWidth="1"/>
    <col min="32" max="32" width="8.58203125" style="15"/>
    <col min="33" max="33" width="9.08203125" style="14" bestFit="1" customWidth="1"/>
    <col min="34" max="34" width="9" style="14" bestFit="1" customWidth="1"/>
    <col min="35" max="36" width="8.58203125" style="14"/>
    <col min="37" max="37" width="9" style="14" bestFit="1" customWidth="1"/>
    <col min="38" max="38" width="8.58203125" style="15"/>
    <col min="39" max="39" width="9.08203125" style="14" bestFit="1" customWidth="1"/>
    <col min="40" max="40" width="9" style="14" bestFit="1" customWidth="1"/>
    <col min="41" max="42" width="8.58203125" style="14"/>
    <col min="43" max="43" width="9" style="14" bestFit="1" customWidth="1"/>
    <col min="44" max="44" width="8.58203125" style="15"/>
    <col min="45" max="45" width="9.08203125" style="14" bestFit="1" customWidth="1"/>
    <col min="46" max="46" width="9" style="14" bestFit="1" customWidth="1"/>
    <col min="47" max="48" width="8.58203125" style="14"/>
    <col min="49" max="49" width="9" style="14" bestFit="1" customWidth="1"/>
    <col min="50" max="50" width="8.58203125" style="15"/>
    <col min="51" max="51" width="9.08203125" style="14" bestFit="1" customWidth="1"/>
    <col min="52" max="52" width="9" style="14" bestFit="1" customWidth="1"/>
    <col min="53" max="54" width="8.58203125" style="14"/>
    <col min="55" max="55" width="9" style="14" bestFit="1" customWidth="1"/>
    <col min="56" max="56" width="8.58203125" style="15"/>
    <col min="57" max="57" width="9.08203125" style="14" bestFit="1" customWidth="1"/>
    <col min="58" max="58" width="9" style="14" bestFit="1" customWidth="1"/>
    <col min="59" max="60" width="8.58203125" style="14"/>
    <col min="61" max="61" width="9" style="14" bestFit="1" customWidth="1"/>
    <col min="62" max="62" width="8.58203125" style="15"/>
    <col min="63" max="63" width="9.08203125" style="14" bestFit="1" customWidth="1"/>
    <col min="64" max="64" width="9" style="14" bestFit="1" customWidth="1"/>
    <col min="65" max="66" width="8.58203125" style="14"/>
    <col min="67" max="67" width="9" style="14" bestFit="1" customWidth="1"/>
    <col min="68" max="68" width="8.58203125" style="15"/>
    <col min="69" max="69" width="9.08203125" style="14" bestFit="1" customWidth="1"/>
    <col min="70" max="70" width="9" style="14" bestFit="1" customWidth="1"/>
    <col min="71" max="72" width="8.58203125" style="14"/>
    <col min="73" max="73" width="9" style="14" bestFit="1" customWidth="1"/>
    <col min="74" max="74" width="8.58203125" style="15"/>
    <col min="75" max="75" width="9.08203125" style="14" bestFit="1" customWidth="1"/>
    <col min="76" max="76" width="11.08203125" style="14" bestFit="1" customWidth="1"/>
    <col min="77" max="77" width="9.58203125" style="14" customWidth="1"/>
    <col min="78" max="78" width="10.25" style="14" customWidth="1"/>
    <col min="79" max="79" width="9" style="14" bestFit="1" customWidth="1"/>
    <col min="80" max="80" width="8.58203125" style="15"/>
    <col min="81" max="81" width="9.08203125" style="14" bestFit="1" customWidth="1"/>
    <col min="82" max="82" width="9" style="14" bestFit="1" customWidth="1"/>
    <col min="83" max="83" width="8.58203125" style="14"/>
    <col min="84" max="84" width="13" style="14" bestFit="1" customWidth="1"/>
    <col min="85" max="85" width="9" style="14" bestFit="1" customWidth="1"/>
    <col min="86" max="86" width="8.58203125" style="15"/>
    <col min="87" max="87" width="9.58203125" style="14" bestFit="1" customWidth="1"/>
    <col min="88" max="88" width="10.5" style="14" bestFit="1" customWidth="1"/>
    <col min="89" max="89" width="9.33203125" style="14" bestFit="1" customWidth="1"/>
    <col min="90" max="90" width="8.58203125" style="14"/>
    <col min="91" max="91" width="9" style="14" bestFit="1" customWidth="1"/>
    <col min="92" max="92" width="8.58203125" style="15"/>
    <col min="93" max="93" width="9.08203125" style="14" bestFit="1" customWidth="1"/>
    <col min="94" max="94" width="9" style="14" bestFit="1" customWidth="1"/>
    <col min="95" max="96" width="9.33203125" style="14" bestFit="1" customWidth="1"/>
    <col min="97" max="97" width="9" style="14" bestFit="1" customWidth="1"/>
    <col min="98" max="98" width="8.58203125" style="15"/>
    <col min="99" max="99" width="9.08203125" style="14" bestFit="1" customWidth="1"/>
    <col min="100" max="100" width="9" style="14" bestFit="1" customWidth="1"/>
    <col min="101" max="102" width="9.33203125" style="14" bestFit="1" customWidth="1"/>
    <col min="103" max="103" width="9" style="14" bestFit="1" customWidth="1"/>
    <col min="104" max="104" width="8.58203125" style="15"/>
    <col min="105" max="107" width="9.25" style="14" bestFit="1" customWidth="1"/>
    <col min="108" max="108" width="10.25" style="14" bestFit="1" customWidth="1"/>
    <col min="109" max="109" width="9" style="14" bestFit="1" customWidth="1"/>
    <col min="110" max="110" width="8.58203125" style="15"/>
    <col min="111" max="113" width="9.25" style="14" bestFit="1" customWidth="1"/>
    <col min="114" max="114" width="10.25" style="14" bestFit="1" customWidth="1"/>
    <col min="115" max="115" width="9" style="14" bestFit="1" customWidth="1"/>
    <col min="116" max="116" width="8.58203125" style="15"/>
    <col min="117" max="117" width="9.33203125" style="14" bestFit="1" customWidth="1"/>
    <col min="118" max="118" width="9" style="14" bestFit="1" customWidth="1"/>
    <col min="119" max="120" width="8.58203125" style="14"/>
    <col min="121" max="121" width="9" style="14" bestFit="1" customWidth="1"/>
    <col min="122" max="122" width="8.58203125" style="15"/>
    <col min="123" max="123" width="9.08203125" style="14" bestFit="1" customWidth="1"/>
    <col min="124" max="124" width="9" style="14" bestFit="1" customWidth="1"/>
    <col min="125" max="126" width="8.58203125" style="14"/>
    <col min="127" max="127" width="9" style="14" bestFit="1" customWidth="1"/>
    <col min="128" max="128" width="8.58203125" style="15"/>
    <col min="129" max="129" width="9.08203125" style="14" bestFit="1" customWidth="1"/>
    <col min="130" max="130" width="9" style="14" bestFit="1" customWidth="1"/>
    <col min="131" max="132" width="8.58203125" style="14"/>
    <col min="133" max="133" width="9" style="14" bestFit="1" customWidth="1"/>
    <col min="134" max="134" width="8.58203125" style="15"/>
    <col min="135" max="135" width="9.08203125" style="14" bestFit="1" customWidth="1"/>
    <col min="136" max="136" width="9" style="14" bestFit="1" customWidth="1"/>
    <col min="137" max="138" width="8.58203125" style="14"/>
    <col min="139" max="139" width="9" style="14" bestFit="1" customWidth="1"/>
    <col min="140" max="140" width="8.58203125" style="15"/>
    <col min="141" max="141" width="9.08203125" style="14" bestFit="1" customWidth="1"/>
    <col min="142" max="142" width="9" style="14" bestFit="1" customWidth="1"/>
    <col min="143" max="144" width="8.58203125" style="14"/>
    <col min="145" max="145" width="9" style="14" bestFit="1" customWidth="1"/>
    <col min="146" max="146" width="8.58203125" style="15"/>
    <col min="147" max="147" width="9.08203125" style="14" bestFit="1" customWidth="1"/>
    <col min="148" max="148" width="9" style="14" bestFit="1" customWidth="1"/>
    <col min="149" max="150" width="8.58203125" style="14"/>
    <col min="151" max="151" width="9" style="14" bestFit="1" customWidth="1"/>
    <col min="152" max="152" width="8.58203125" style="15"/>
    <col min="153" max="153" width="9.08203125" style="14" bestFit="1" customWidth="1"/>
    <col min="154" max="154" width="9" style="14" bestFit="1" customWidth="1"/>
    <col min="155" max="156" width="8.58203125" style="14"/>
    <col min="157" max="157" width="9" style="14" bestFit="1" customWidth="1"/>
    <col min="158" max="158" width="8.58203125" style="15"/>
    <col min="159" max="159" width="9.08203125" style="14" bestFit="1" customWidth="1"/>
    <col min="160" max="163" width="9.33203125" style="14" bestFit="1" customWidth="1"/>
    <col min="164" max="164" width="11.58203125" style="15" bestFit="1" customWidth="1"/>
    <col min="165" max="165" width="9.08203125" style="14" bestFit="1" customWidth="1"/>
    <col min="166" max="166" width="9" style="14" bestFit="1" customWidth="1"/>
    <col min="167" max="168" width="8.58203125" style="14"/>
    <col min="169" max="169" width="9" style="14" bestFit="1" customWidth="1"/>
    <col min="170" max="170" width="8.58203125" style="15"/>
    <col min="171" max="171" width="9.08203125" style="14" bestFit="1" customWidth="1"/>
    <col min="172" max="172" width="9" style="14" bestFit="1" customWidth="1"/>
    <col min="173" max="174" width="8.58203125" style="14"/>
    <col min="175" max="175" width="9" style="14" bestFit="1" customWidth="1"/>
    <col min="176" max="176" width="8.58203125" style="15"/>
    <col min="177" max="177" width="9.08203125" style="14" bestFit="1" customWidth="1"/>
    <col min="178" max="178" width="9" style="14" bestFit="1" customWidth="1"/>
    <col min="179" max="180" width="8.58203125" style="14"/>
    <col min="181" max="181" width="9" style="14" bestFit="1" customWidth="1"/>
    <col min="182" max="182" width="8.58203125" style="15"/>
    <col min="183" max="183" width="9.08203125" style="14" bestFit="1" customWidth="1"/>
    <col min="184" max="184" width="9" style="14" bestFit="1" customWidth="1"/>
    <col min="185" max="186" width="8.58203125" style="14"/>
    <col min="187" max="187" width="9" style="14" bestFit="1" customWidth="1"/>
    <col min="188" max="188" width="8.58203125" style="15"/>
    <col min="189" max="189" width="9.08203125" style="14" bestFit="1" customWidth="1"/>
    <col min="190" max="190" width="9" style="14" bestFit="1" customWidth="1"/>
    <col min="191" max="192" width="8.58203125" style="14"/>
    <col min="193" max="193" width="9" style="14" bestFit="1" customWidth="1"/>
    <col min="194" max="194" width="8.58203125" style="15"/>
    <col min="195" max="195" width="9.08203125" style="14" bestFit="1" customWidth="1"/>
    <col min="196" max="196" width="9" style="14" bestFit="1" customWidth="1"/>
    <col min="197" max="198" width="8.58203125" style="14"/>
    <col min="199" max="199" width="9" style="14" bestFit="1" customWidth="1"/>
    <col min="200" max="200" width="8.58203125" style="15"/>
    <col min="201" max="201" width="9.08203125" style="14" bestFit="1" customWidth="1"/>
    <col min="202" max="202" width="9" style="14" bestFit="1" customWidth="1"/>
    <col min="203" max="204" width="8.58203125" style="14"/>
    <col min="205" max="205" width="9" style="14" bestFit="1" customWidth="1"/>
    <col min="206" max="206" width="9" style="15" bestFit="1" customWidth="1"/>
    <col min="207" max="207" width="9.08203125" style="14" bestFit="1" customWidth="1"/>
    <col min="208" max="208" width="9" style="14" bestFit="1" customWidth="1"/>
    <col min="209" max="210" width="8.58203125" style="14"/>
    <col min="211" max="211" width="9" style="14" bestFit="1" customWidth="1"/>
    <col min="212" max="212" width="8.58203125" style="15"/>
    <col min="213" max="213" width="9.08203125" style="14" bestFit="1" customWidth="1"/>
    <col min="214" max="214" width="9" style="14" bestFit="1" customWidth="1"/>
    <col min="215" max="216" width="8.58203125" style="14"/>
    <col min="217" max="217" width="9" style="14" bestFit="1" customWidth="1"/>
    <col min="218" max="218" width="8.58203125" style="15"/>
    <col min="219" max="219" width="9.08203125" style="14" bestFit="1" customWidth="1"/>
    <col min="220" max="220" width="9" style="14" bestFit="1" customWidth="1"/>
    <col min="221" max="221" width="8.58203125" style="14"/>
    <col min="222" max="223" width="9" style="14" bestFit="1" customWidth="1"/>
    <col min="224" max="224" width="8.58203125" style="15"/>
    <col min="225" max="225" width="9.08203125" style="14" bestFit="1" customWidth="1"/>
    <col min="226" max="226" width="9" style="14" bestFit="1" customWidth="1"/>
    <col min="227" max="228" width="8.58203125" style="14"/>
    <col min="229" max="229" width="9" style="14" bestFit="1" customWidth="1"/>
    <col min="230" max="230" width="8.58203125" style="15"/>
    <col min="231" max="231" width="9.08203125" style="14" bestFit="1" customWidth="1"/>
    <col min="232" max="232" width="9" style="14" bestFit="1" customWidth="1"/>
    <col min="233" max="234" width="8.58203125" style="14"/>
    <col min="235" max="235" width="9" style="14" bestFit="1" customWidth="1"/>
    <col min="236" max="236" width="8.58203125" style="15"/>
    <col min="237" max="237" width="9.08203125" style="14" bestFit="1" customWidth="1"/>
    <col min="238" max="238" width="9" style="14" bestFit="1" customWidth="1"/>
    <col min="239" max="240" width="8.58203125" style="14"/>
    <col min="241" max="241" width="9" style="14" bestFit="1" customWidth="1"/>
    <col min="242" max="242" width="8.58203125" style="15"/>
    <col min="243" max="243" width="9.08203125" style="14" bestFit="1" customWidth="1"/>
    <col min="244" max="244" width="9" style="14" bestFit="1" customWidth="1"/>
    <col min="245" max="246" width="8.58203125" style="14"/>
    <col min="247" max="247" width="9" style="14" bestFit="1" customWidth="1"/>
    <col min="248" max="248" width="8.58203125" style="15"/>
    <col min="249" max="249" width="9.08203125" style="14" bestFit="1" customWidth="1"/>
    <col min="250" max="250" width="9" style="14" bestFit="1" customWidth="1"/>
    <col min="251" max="252" width="8.58203125" style="14"/>
    <col min="253" max="253" width="9" style="14" bestFit="1" customWidth="1"/>
    <col min="254" max="254" width="8.58203125" style="15"/>
    <col min="255" max="255" width="9.08203125" style="14" bestFit="1" customWidth="1"/>
    <col min="256" max="256" width="9" style="14" bestFit="1" customWidth="1"/>
    <col min="257" max="258" width="8.58203125" style="14"/>
    <col min="259" max="259" width="9" style="14" bestFit="1" customWidth="1"/>
    <col min="260" max="260" width="8.58203125" style="15"/>
    <col min="261" max="261" width="9.08203125" style="14" bestFit="1" customWidth="1"/>
    <col min="262" max="262" width="9" style="14" bestFit="1" customWidth="1"/>
    <col min="263" max="264" width="8.58203125" style="14"/>
    <col min="265" max="265" width="9" style="14" bestFit="1" customWidth="1"/>
    <col min="266" max="266" width="8.58203125" style="15"/>
    <col min="267" max="267" width="9.08203125" style="14" bestFit="1" customWidth="1"/>
    <col min="268" max="268" width="9" style="14" bestFit="1" customWidth="1"/>
    <col min="269" max="270" width="8.58203125" style="14"/>
    <col min="271" max="271" width="9" style="14" bestFit="1" customWidth="1"/>
    <col min="272" max="272" width="8.58203125" style="15"/>
    <col min="273" max="273" width="9.08203125" style="14" bestFit="1" customWidth="1"/>
    <col min="274" max="274" width="9" style="14" bestFit="1" customWidth="1"/>
    <col min="275" max="276" width="8.58203125" style="14"/>
    <col min="277" max="277" width="9" style="14" bestFit="1" customWidth="1"/>
    <col min="278" max="278" width="8.58203125" style="15"/>
    <col min="279" max="279" width="9.08203125" style="14" bestFit="1" customWidth="1"/>
    <col min="280" max="280" width="9" style="14" bestFit="1" customWidth="1"/>
    <col min="281" max="281" width="8.58203125" style="14"/>
    <col min="282" max="282" width="9.08203125" style="14" bestFit="1" customWidth="1"/>
    <col min="283" max="283" width="9" style="14" bestFit="1" customWidth="1"/>
    <col min="284" max="284" width="8.58203125" style="15"/>
    <col min="285" max="285" width="9.08203125" style="14" bestFit="1" customWidth="1"/>
    <col min="286" max="286" width="9" style="14" bestFit="1" customWidth="1"/>
    <col min="287" max="287" width="8.58203125" style="14"/>
    <col min="288" max="288" width="9.08203125" style="14" bestFit="1" customWidth="1"/>
    <col min="289" max="289" width="9" style="14" bestFit="1" customWidth="1"/>
    <col min="290" max="290" width="8.58203125" style="15"/>
    <col min="291" max="291" width="9.08203125" style="14" bestFit="1" customWidth="1"/>
    <col min="292" max="292" width="9" style="14" bestFit="1" customWidth="1"/>
    <col min="293" max="294" width="8.58203125" style="14"/>
    <col min="295" max="295" width="9" style="14" bestFit="1" customWidth="1"/>
    <col min="296" max="296" width="8.58203125" style="15"/>
    <col min="297" max="297" width="9.08203125" style="14" bestFit="1" customWidth="1"/>
    <col min="298" max="298" width="9" style="14" bestFit="1" customWidth="1"/>
    <col min="299" max="300" width="8.58203125" style="14"/>
    <col min="301" max="301" width="9" style="14" bestFit="1" customWidth="1"/>
    <col min="302" max="302" width="8.58203125" style="15"/>
    <col min="303" max="303" width="9.08203125" style="14" bestFit="1" customWidth="1"/>
    <col min="304" max="304" width="9" style="14" bestFit="1" customWidth="1"/>
    <col min="305" max="306" width="8.58203125" style="14"/>
    <col min="307" max="307" width="9" style="14" bestFit="1" customWidth="1"/>
    <col min="308" max="308" width="8.58203125" style="15"/>
    <col min="309" max="309" width="9.08203125" style="14" bestFit="1" customWidth="1"/>
    <col min="310" max="310" width="9" style="14" bestFit="1" customWidth="1"/>
    <col min="311" max="312" width="8.58203125" style="14"/>
    <col min="313" max="313" width="9" style="14" bestFit="1" customWidth="1"/>
    <col min="314" max="314" width="8.58203125" style="15"/>
    <col min="315" max="315" width="9.08203125" style="14" bestFit="1" customWidth="1"/>
    <col min="316" max="316" width="11.08203125" style="14" bestFit="1" customWidth="1"/>
    <col min="317" max="317" width="9.58203125" style="14" customWidth="1"/>
    <col min="318" max="318" width="10.25" style="14" customWidth="1"/>
    <col min="319" max="319" width="9" style="14" bestFit="1" customWidth="1"/>
    <col min="320" max="320" width="8.58203125" style="15"/>
    <col min="321" max="321" width="9.08203125" style="14" bestFit="1" customWidth="1"/>
    <col min="322" max="322" width="11.08203125" style="14" bestFit="1" customWidth="1"/>
    <col min="323" max="323" width="9.58203125" style="14" customWidth="1"/>
    <col min="324" max="324" width="10.25" style="14" customWidth="1"/>
    <col min="325" max="325" width="9" style="14" bestFit="1" customWidth="1"/>
    <col min="326" max="326" width="8.58203125" style="15"/>
    <col min="327" max="327" width="9.08203125" style="14" bestFit="1" customWidth="1"/>
    <col min="328" max="328" width="9" style="14" bestFit="1" customWidth="1"/>
    <col min="329" max="330" width="8.58203125" style="14"/>
    <col min="331" max="331" width="9" style="14" bestFit="1" customWidth="1"/>
    <col min="332" max="332" width="8.58203125" style="15"/>
    <col min="333" max="333" width="9.08203125" style="14" bestFit="1" customWidth="1"/>
    <col min="334" max="334" width="9" style="14" bestFit="1" customWidth="1"/>
    <col min="335" max="336" width="8.58203125" style="14"/>
    <col min="337" max="337" width="9" style="14" bestFit="1" customWidth="1"/>
    <col min="338" max="338" width="8.58203125" style="15"/>
    <col min="339" max="339" width="9.08203125" style="14" bestFit="1" customWidth="1"/>
    <col min="340" max="340" width="9" style="14" bestFit="1" customWidth="1"/>
    <col min="341" max="342" width="8.58203125" style="14"/>
    <col min="343" max="343" width="9" style="14" bestFit="1" customWidth="1"/>
    <col min="344" max="344" width="8.58203125" style="15"/>
    <col min="345" max="345" width="9.1640625" style="14" bestFit="1" customWidth="1"/>
    <col min="346" max="346" width="9" style="14" bestFit="1" customWidth="1"/>
    <col min="347" max="348" width="8.6640625" style="14"/>
    <col min="349" max="349" width="9" style="14" bestFit="1" customWidth="1"/>
    <col min="350" max="350" width="8.6640625" style="15"/>
    <col min="351" max="351" width="9.08203125" style="14" bestFit="1" customWidth="1"/>
    <col min="352" max="352" width="9" style="14" bestFit="1" customWidth="1"/>
    <col min="353" max="354" width="8.58203125" style="14"/>
    <col min="355" max="355" width="9" style="14" bestFit="1" customWidth="1"/>
    <col min="356" max="356" width="8.58203125" style="15"/>
    <col min="357" max="357" width="9.08203125" style="14" bestFit="1" customWidth="1"/>
    <col min="358" max="358" width="9" style="14" bestFit="1" customWidth="1"/>
    <col min="359" max="360" width="8.58203125" style="14"/>
    <col min="361" max="361" width="9" style="14" bestFit="1" customWidth="1"/>
    <col min="362" max="362" width="8.58203125" style="15"/>
    <col min="363" max="363" width="9.08203125" style="14" bestFit="1" customWidth="1"/>
    <col min="364" max="364" width="9" style="14" bestFit="1" customWidth="1"/>
    <col min="365" max="366" width="8.58203125" style="14"/>
    <col min="367" max="367" width="9" style="14" bestFit="1" customWidth="1"/>
    <col min="368" max="368" width="8.58203125" style="15"/>
    <col min="369" max="369" width="9.08203125" style="14" bestFit="1" customWidth="1"/>
    <col min="370" max="370" width="9" style="14" bestFit="1" customWidth="1"/>
    <col min="371" max="372" width="8.58203125" style="14"/>
    <col min="373" max="373" width="9" style="14" bestFit="1" customWidth="1"/>
    <col min="374" max="374" width="8.58203125" style="15"/>
    <col min="375" max="16384" width="8.58203125" style="8"/>
  </cols>
  <sheetData>
    <row r="1" spans="1:374" s="7" customFormat="1" x14ac:dyDescent="0.45">
      <c r="A1" s="276" t="s">
        <v>319</v>
      </c>
      <c r="B1" s="277"/>
      <c r="C1" s="124" t="s">
        <v>31</v>
      </c>
      <c r="D1" s="32" t="s">
        <v>166</v>
      </c>
      <c r="E1" s="32" t="s">
        <v>171</v>
      </c>
      <c r="F1" s="32"/>
      <c r="G1" s="32"/>
      <c r="H1" s="31"/>
      <c r="I1" s="124" t="s">
        <v>6</v>
      </c>
      <c r="J1" s="32" t="s">
        <v>166</v>
      </c>
      <c r="K1" s="32" t="s">
        <v>320</v>
      </c>
      <c r="L1" s="32"/>
      <c r="M1" s="32"/>
      <c r="N1" s="31"/>
      <c r="O1" s="124" t="s">
        <v>321</v>
      </c>
      <c r="P1" s="32" t="s">
        <v>166</v>
      </c>
      <c r="Q1" s="32" t="s">
        <v>320</v>
      </c>
      <c r="R1" s="32"/>
      <c r="S1" s="32"/>
      <c r="T1" s="31"/>
      <c r="U1" s="124" t="s">
        <v>7</v>
      </c>
      <c r="V1" s="32" t="s">
        <v>322</v>
      </c>
      <c r="W1" s="32" t="s">
        <v>320</v>
      </c>
      <c r="X1" s="125"/>
      <c r="Y1" s="32"/>
      <c r="Z1" s="31"/>
      <c r="AA1" s="124" t="s">
        <v>323</v>
      </c>
      <c r="AB1" s="32" t="s">
        <v>324</v>
      </c>
      <c r="AC1" s="32" t="s">
        <v>325</v>
      </c>
      <c r="AD1" s="32"/>
      <c r="AE1" s="32"/>
      <c r="AF1" s="31"/>
      <c r="AG1" s="124" t="s">
        <v>326</v>
      </c>
      <c r="AH1" s="32" t="s">
        <v>324</v>
      </c>
      <c r="AI1" s="32" t="s">
        <v>325</v>
      </c>
      <c r="AJ1" s="32"/>
      <c r="AK1" s="32"/>
      <c r="AL1" s="31"/>
      <c r="AM1" s="124" t="s">
        <v>327</v>
      </c>
      <c r="AN1" s="32" t="s">
        <v>324</v>
      </c>
      <c r="AO1" s="32" t="s">
        <v>325</v>
      </c>
      <c r="AP1" s="32"/>
      <c r="AQ1" s="32"/>
      <c r="AR1" s="31"/>
      <c r="AS1" s="124" t="s">
        <v>328</v>
      </c>
      <c r="AT1" s="32" t="s">
        <v>324</v>
      </c>
      <c r="AU1" s="32" t="s">
        <v>113</v>
      </c>
      <c r="AV1" s="32"/>
      <c r="AW1" s="32"/>
      <c r="AX1" s="31"/>
      <c r="AY1" s="124" t="s">
        <v>329</v>
      </c>
      <c r="AZ1" s="32" t="s">
        <v>324</v>
      </c>
      <c r="BA1" s="32" t="s">
        <v>113</v>
      </c>
      <c r="BB1" s="32"/>
      <c r="BC1" s="32"/>
      <c r="BD1" s="31"/>
      <c r="BE1" s="124" t="s">
        <v>33</v>
      </c>
      <c r="BF1" s="32" t="s">
        <v>324</v>
      </c>
      <c r="BG1" s="32" t="s">
        <v>330</v>
      </c>
      <c r="BH1" s="32"/>
      <c r="BI1" s="32"/>
      <c r="BJ1" s="31"/>
      <c r="BK1" s="124" t="s">
        <v>331</v>
      </c>
      <c r="BL1" s="32" t="s">
        <v>324</v>
      </c>
      <c r="BM1" s="32" t="s">
        <v>330</v>
      </c>
      <c r="BN1" s="32"/>
      <c r="BO1" s="32"/>
      <c r="BP1" s="31"/>
      <c r="BQ1" s="124" t="s">
        <v>332</v>
      </c>
      <c r="BR1" s="32" t="s">
        <v>324</v>
      </c>
      <c r="BS1" s="32" t="s">
        <v>330</v>
      </c>
      <c r="BT1" s="32"/>
      <c r="BU1" s="32"/>
      <c r="BV1" s="31"/>
      <c r="BW1" s="124" t="s">
        <v>127</v>
      </c>
      <c r="BX1" s="32" t="s">
        <v>324</v>
      </c>
      <c r="BY1" s="32" t="s">
        <v>113</v>
      </c>
      <c r="BZ1" s="32"/>
      <c r="CA1" s="32"/>
      <c r="CB1" s="31"/>
      <c r="CC1" s="124" t="s">
        <v>333</v>
      </c>
      <c r="CD1" s="32" t="s">
        <v>324</v>
      </c>
      <c r="CE1" s="32" t="s">
        <v>325</v>
      </c>
      <c r="CF1" s="32"/>
      <c r="CG1" s="32"/>
      <c r="CH1" s="31"/>
      <c r="CI1" s="124" t="s">
        <v>129</v>
      </c>
      <c r="CJ1" s="32" t="s">
        <v>324</v>
      </c>
      <c r="CK1" s="32" t="s">
        <v>113</v>
      </c>
      <c r="CL1" s="32"/>
      <c r="CM1" s="32"/>
      <c r="CN1" s="31"/>
      <c r="CO1" s="124" t="s">
        <v>334</v>
      </c>
      <c r="CP1" s="32" t="s">
        <v>335</v>
      </c>
      <c r="CQ1" s="32" t="s">
        <v>113</v>
      </c>
      <c r="CR1" s="32"/>
      <c r="CS1" s="32"/>
      <c r="CT1" s="31"/>
      <c r="CU1" s="124" t="s">
        <v>336</v>
      </c>
      <c r="CV1" s="32" t="s">
        <v>335</v>
      </c>
      <c r="CW1" s="32" t="s">
        <v>113</v>
      </c>
      <c r="CX1" s="32"/>
      <c r="CY1" s="32"/>
      <c r="CZ1" s="31"/>
      <c r="DA1" s="124" t="s">
        <v>337</v>
      </c>
      <c r="DB1" s="32" t="s">
        <v>324</v>
      </c>
      <c r="DC1" s="32" t="s">
        <v>330</v>
      </c>
      <c r="DD1" s="32"/>
      <c r="DE1" s="32"/>
      <c r="DF1" s="31"/>
      <c r="DG1" s="124" t="s">
        <v>338</v>
      </c>
      <c r="DH1" s="32" t="s">
        <v>324</v>
      </c>
      <c r="DI1" s="32" t="s">
        <v>330</v>
      </c>
      <c r="DJ1" s="32"/>
      <c r="DK1" s="32"/>
      <c r="DL1" s="31"/>
      <c r="DM1" s="124" t="s">
        <v>339</v>
      </c>
      <c r="DN1" s="32" t="s">
        <v>324</v>
      </c>
      <c r="DO1" s="32" t="s">
        <v>118</v>
      </c>
      <c r="DP1" s="32"/>
      <c r="DQ1" s="32"/>
      <c r="DR1" s="31"/>
      <c r="DS1" s="124" t="s">
        <v>340</v>
      </c>
      <c r="DT1" s="32" t="s">
        <v>324</v>
      </c>
      <c r="DU1" s="32" t="s">
        <v>325</v>
      </c>
      <c r="DV1" s="32"/>
      <c r="DW1" s="32"/>
      <c r="DX1" s="31"/>
      <c r="DY1" s="124" t="s">
        <v>8</v>
      </c>
      <c r="DZ1" s="32" t="s">
        <v>322</v>
      </c>
      <c r="EA1" s="32" t="s">
        <v>320</v>
      </c>
      <c r="EB1" s="32"/>
      <c r="EC1" s="32"/>
      <c r="ED1" s="31"/>
      <c r="EE1" s="124" t="s">
        <v>341</v>
      </c>
      <c r="EF1" s="32" t="s">
        <v>322</v>
      </c>
      <c r="EG1" s="32" t="s">
        <v>320</v>
      </c>
      <c r="EH1" s="32"/>
      <c r="EI1" s="32"/>
      <c r="EJ1" s="31"/>
      <c r="EK1" s="124" t="s">
        <v>342</v>
      </c>
      <c r="EL1" s="32" t="s">
        <v>335</v>
      </c>
      <c r="EM1" s="32" t="s">
        <v>330</v>
      </c>
      <c r="EN1" s="32"/>
      <c r="EO1" s="32"/>
      <c r="EP1" s="31"/>
      <c r="EQ1" s="124" t="s">
        <v>11</v>
      </c>
      <c r="ER1" s="32" t="s">
        <v>324</v>
      </c>
      <c r="ES1" s="32" t="s">
        <v>113</v>
      </c>
      <c r="ET1" s="32"/>
      <c r="EU1" s="32"/>
      <c r="EV1" s="31"/>
      <c r="EW1" s="124" t="s">
        <v>343</v>
      </c>
      <c r="EX1" s="32" t="s">
        <v>324</v>
      </c>
      <c r="EY1" s="32" t="s">
        <v>113</v>
      </c>
      <c r="EZ1" s="32"/>
      <c r="FA1" s="32"/>
      <c r="FB1" s="31"/>
      <c r="FC1" s="124" t="s">
        <v>344</v>
      </c>
      <c r="FD1" s="32" t="s">
        <v>324</v>
      </c>
      <c r="FE1" s="32" t="s">
        <v>118</v>
      </c>
      <c r="FF1" s="32"/>
      <c r="FG1" s="32"/>
      <c r="FH1" s="31"/>
      <c r="FI1" s="124" t="s">
        <v>345</v>
      </c>
      <c r="FJ1" s="32" t="s">
        <v>324</v>
      </c>
      <c r="FK1" s="32" t="s">
        <v>118</v>
      </c>
      <c r="FL1" s="32"/>
      <c r="FM1" s="32"/>
      <c r="FN1" s="31"/>
      <c r="FO1" s="124" t="s">
        <v>346</v>
      </c>
      <c r="FP1" s="32" t="s">
        <v>166</v>
      </c>
      <c r="FQ1" s="32" t="s">
        <v>174</v>
      </c>
      <c r="FR1" s="32"/>
      <c r="FS1" s="32"/>
      <c r="FT1" s="31"/>
      <c r="FU1" s="124" t="s">
        <v>347</v>
      </c>
      <c r="FV1" s="32" t="s">
        <v>166</v>
      </c>
      <c r="FW1" s="32" t="s">
        <v>174</v>
      </c>
      <c r="FX1" s="32"/>
      <c r="FY1" s="32"/>
      <c r="FZ1" s="31"/>
      <c r="GA1" s="124" t="s">
        <v>348</v>
      </c>
      <c r="GB1" s="32" t="s">
        <v>324</v>
      </c>
      <c r="GC1" s="32" t="s">
        <v>118</v>
      </c>
      <c r="GD1" s="32"/>
      <c r="GE1" s="32"/>
      <c r="GF1" s="31"/>
      <c r="GG1" s="124" t="s">
        <v>349</v>
      </c>
      <c r="GH1" s="32" t="s">
        <v>324</v>
      </c>
      <c r="GI1" s="32" t="s">
        <v>320</v>
      </c>
      <c r="GJ1" s="32"/>
      <c r="GK1" s="32"/>
      <c r="GL1" s="31"/>
      <c r="GM1" s="124" t="s">
        <v>350</v>
      </c>
      <c r="GN1" s="32" t="s">
        <v>324</v>
      </c>
      <c r="GO1" s="32" t="s">
        <v>320</v>
      </c>
      <c r="GP1" s="32"/>
      <c r="GQ1" s="32"/>
      <c r="GR1" s="31"/>
      <c r="GS1" s="124" t="s">
        <v>351</v>
      </c>
      <c r="GT1" s="32" t="s">
        <v>166</v>
      </c>
      <c r="GU1" s="32" t="s">
        <v>96</v>
      </c>
      <c r="GV1" s="32"/>
      <c r="GW1" s="32"/>
      <c r="GX1" s="31"/>
      <c r="GY1" s="124" t="s">
        <v>352</v>
      </c>
      <c r="GZ1" s="32" t="s">
        <v>166</v>
      </c>
      <c r="HA1" s="32" t="s">
        <v>176</v>
      </c>
      <c r="HB1" s="32"/>
      <c r="HC1" s="32"/>
      <c r="HD1" s="31"/>
      <c r="HE1" s="124" t="s">
        <v>353</v>
      </c>
      <c r="HF1" s="32" t="s">
        <v>324</v>
      </c>
      <c r="HG1" s="32" t="s">
        <v>330</v>
      </c>
      <c r="HH1" s="32"/>
      <c r="HI1" s="32"/>
      <c r="HJ1" s="31"/>
      <c r="HK1" s="78" t="s">
        <v>354</v>
      </c>
      <c r="HL1" s="32" t="s">
        <v>324</v>
      </c>
      <c r="HM1" s="32" t="s">
        <v>325</v>
      </c>
      <c r="HN1" s="14"/>
      <c r="HO1" s="14"/>
      <c r="HP1" s="15"/>
      <c r="HQ1" s="124" t="s">
        <v>355</v>
      </c>
      <c r="HR1" s="32" t="s">
        <v>324</v>
      </c>
      <c r="HS1" s="32" t="s">
        <v>325</v>
      </c>
      <c r="HT1" s="32"/>
      <c r="HU1" s="32"/>
      <c r="HV1" s="31"/>
      <c r="HW1" s="124" t="s">
        <v>356</v>
      </c>
      <c r="HX1" s="32" t="s">
        <v>324</v>
      </c>
      <c r="HY1" s="32" t="s">
        <v>118</v>
      </c>
      <c r="HZ1" s="32"/>
      <c r="IA1" s="32"/>
      <c r="IB1" s="31"/>
      <c r="IC1" s="124" t="s">
        <v>357</v>
      </c>
      <c r="ID1" s="32" t="s">
        <v>324</v>
      </c>
      <c r="IE1" s="32" t="s">
        <v>118</v>
      </c>
      <c r="IF1" s="32"/>
      <c r="IG1" s="32"/>
      <c r="IH1" s="31"/>
      <c r="II1" s="124" t="s">
        <v>358</v>
      </c>
      <c r="IJ1" s="32" t="s">
        <v>324</v>
      </c>
      <c r="IK1" s="32" t="s">
        <v>359</v>
      </c>
      <c r="IL1" s="32"/>
      <c r="IM1" s="32"/>
      <c r="IN1" s="31"/>
      <c r="IO1" s="124" t="s">
        <v>360</v>
      </c>
      <c r="IP1" s="32" t="s">
        <v>324</v>
      </c>
      <c r="IQ1" s="32" t="s">
        <v>118</v>
      </c>
      <c r="IR1" s="32"/>
      <c r="IS1" s="32"/>
      <c r="IT1" s="31"/>
      <c r="IU1" s="124" t="s">
        <v>361</v>
      </c>
      <c r="IV1" s="32" t="s">
        <v>324</v>
      </c>
      <c r="IW1" s="32" t="s">
        <v>118</v>
      </c>
      <c r="IX1" s="32"/>
      <c r="IY1" s="32"/>
      <c r="IZ1" s="31"/>
      <c r="JA1" s="124" t="s">
        <v>362</v>
      </c>
      <c r="JB1" s="32" t="s">
        <v>166</v>
      </c>
      <c r="JC1" s="32" t="s">
        <v>176</v>
      </c>
      <c r="JD1" s="32"/>
      <c r="JE1" s="32"/>
      <c r="JF1" s="31"/>
      <c r="JG1" s="124" t="s">
        <v>363</v>
      </c>
      <c r="JH1" s="32" t="s">
        <v>166</v>
      </c>
      <c r="JI1" s="32" t="s">
        <v>176</v>
      </c>
      <c r="JJ1" s="32"/>
      <c r="JK1" s="32"/>
      <c r="JL1" s="31"/>
      <c r="JM1" s="124" t="s">
        <v>34</v>
      </c>
      <c r="JN1" s="32" t="s">
        <v>166</v>
      </c>
      <c r="JO1" s="32" t="s">
        <v>90</v>
      </c>
      <c r="JP1" s="32"/>
      <c r="JQ1" s="32"/>
      <c r="JR1" s="31"/>
      <c r="JS1" s="124" t="s">
        <v>10</v>
      </c>
      <c r="JT1" s="32" t="s">
        <v>324</v>
      </c>
      <c r="JU1" s="32" t="s">
        <v>320</v>
      </c>
      <c r="JV1" s="32"/>
      <c r="JW1" s="32"/>
      <c r="JX1" s="31"/>
      <c r="JY1" s="124" t="s">
        <v>364</v>
      </c>
      <c r="JZ1" s="32" t="s">
        <v>324</v>
      </c>
      <c r="KA1" s="32" t="s">
        <v>320</v>
      </c>
      <c r="KB1" s="32"/>
      <c r="KC1" s="32"/>
      <c r="KD1" s="31"/>
      <c r="KE1" s="124" t="s">
        <v>12</v>
      </c>
      <c r="KF1" s="32" t="s">
        <v>324</v>
      </c>
      <c r="KG1" s="32" t="s">
        <v>118</v>
      </c>
      <c r="KH1" s="32"/>
      <c r="KI1" s="32"/>
      <c r="KJ1" s="31"/>
      <c r="KK1" s="124" t="s">
        <v>13</v>
      </c>
      <c r="KL1" s="32" t="s">
        <v>166</v>
      </c>
      <c r="KM1" s="32" t="s">
        <v>171</v>
      </c>
      <c r="KN1" s="32"/>
      <c r="KO1" s="32"/>
      <c r="KP1" s="31"/>
      <c r="KQ1" s="124" t="s">
        <v>14</v>
      </c>
      <c r="KR1" s="32" t="s">
        <v>166</v>
      </c>
      <c r="KS1" s="32" t="s">
        <v>94</v>
      </c>
      <c r="KT1" s="32"/>
      <c r="KU1" s="32"/>
      <c r="KV1" s="31"/>
      <c r="KW1" s="124" t="s">
        <v>365</v>
      </c>
      <c r="KX1" s="32" t="s">
        <v>166</v>
      </c>
      <c r="KY1" s="32" t="s">
        <v>171</v>
      </c>
      <c r="KZ1" s="32"/>
      <c r="LA1" s="32"/>
      <c r="LB1" s="31"/>
      <c r="LC1" s="124" t="s">
        <v>2</v>
      </c>
      <c r="LD1" s="32" t="s">
        <v>167</v>
      </c>
      <c r="LE1" s="32" t="s">
        <v>94</v>
      </c>
      <c r="LF1" s="32"/>
      <c r="LG1" s="32"/>
      <c r="LH1" s="31"/>
      <c r="LI1" s="78" t="s">
        <v>3</v>
      </c>
      <c r="LJ1" s="32" t="s">
        <v>322</v>
      </c>
      <c r="LK1" s="32" t="s">
        <v>325</v>
      </c>
      <c r="LL1" s="14"/>
      <c r="LM1" s="14"/>
      <c r="LN1" s="15"/>
      <c r="LO1" s="124" t="s">
        <v>366</v>
      </c>
      <c r="LP1" s="32" t="s">
        <v>324</v>
      </c>
      <c r="LQ1" s="32" t="s">
        <v>176</v>
      </c>
      <c r="LR1" s="32"/>
      <c r="LS1" s="32"/>
      <c r="LT1" s="31"/>
      <c r="LU1" s="124" t="s">
        <v>367</v>
      </c>
      <c r="LV1" s="32" t="s">
        <v>324</v>
      </c>
      <c r="LW1" s="32" t="s">
        <v>320</v>
      </c>
      <c r="LX1" s="32"/>
      <c r="LY1" s="32"/>
      <c r="LZ1" s="31"/>
      <c r="MA1" s="124" t="s">
        <v>4</v>
      </c>
      <c r="MB1" s="32" t="s">
        <v>335</v>
      </c>
      <c r="MC1" s="32" t="s">
        <v>113</v>
      </c>
      <c r="MD1" s="32"/>
      <c r="ME1" s="32"/>
      <c r="MF1" s="31"/>
      <c r="MG1" s="124" t="s">
        <v>0</v>
      </c>
      <c r="MH1" s="32" t="s">
        <v>335</v>
      </c>
      <c r="MI1" s="32" t="s">
        <v>118</v>
      </c>
      <c r="MJ1" s="32"/>
      <c r="MK1" s="32"/>
      <c r="ML1" s="31"/>
      <c r="MM1" s="124" t="s">
        <v>492</v>
      </c>
      <c r="MN1" s="32" t="s">
        <v>324</v>
      </c>
      <c r="MO1" s="32" t="s">
        <v>320</v>
      </c>
      <c r="MP1" s="32"/>
      <c r="MQ1" s="32"/>
      <c r="MR1" s="31"/>
      <c r="MS1" s="124" t="s">
        <v>493</v>
      </c>
      <c r="MT1" s="32" t="s">
        <v>324</v>
      </c>
      <c r="MU1" s="32" t="s">
        <v>330</v>
      </c>
      <c r="MV1" s="32"/>
      <c r="MW1" s="32"/>
      <c r="MX1" s="31"/>
      <c r="MY1" s="124" t="s">
        <v>497</v>
      </c>
      <c r="MZ1" s="32" t="s">
        <v>168</v>
      </c>
      <c r="NA1" s="32" t="s">
        <v>174</v>
      </c>
      <c r="NB1" s="32"/>
      <c r="NC1" s="32"/>
      <c r="ND1" s="31"/>
      <c r="NE1" s="124"/>
      <c r="NF1" s="32"/>
      <c r="NG1" s="32"/>
      <c r="NH1" s="32"/>
      <c r="NI1" s="32"/>
      <c r="NJ1" s="31"/>
    </row>
    <row r="2" spans="1:374" x14ac:dyDescent="0.45">
      <c r="A2" s="278"/>
      <c r="B2" s="279"/>
      <c r="C2" s="14" t="s">
        <v>368</v>
      </c>
      <c r="D2" s="14" t="s">
        <v>314</v>
      </c>
      <c r="E2" s="14" t="s">
        <v>205</v>
      </c>
      <c r="F2" s="14" t="s">
        <v>206</v>
      </c>
      <c r="G2" s="14" t="s">
        <v>315</v>
      </c>
      <c r="H2" s="15" t="s">
        <v>208</v>
      </c>
      <c r="I2" s="14" t="s">
        <v>368</v>
      </c>
      <c r="J2" s="14" t="s">
        <v>314</v>
      </c>
      <c r="K2" s="14" t="s">
        <v>205</v>
      </c>
      <c r="L2" s="14" t="s">
        <v>206</v>
      </c>
      <c r="M2" s="14" t="s">
        <v>315</v>
      </c>
      <c r="N2" s="15" t="s">
        <v>208</v>
      </c>
      <c r="O2" s="14" t="s">
        <v>368</v>
      </c>
      <c r="P2" s="14" t="s">
        <v>314</v>
      </c>
      <c r="Q2" s="14" t="s">
        <v>205</v>
      </c>
      <c r="R2" s="14" t="s">
        <v>206</v>
      </c>
      <c r="S2" s="14" t="s">
        <v>315</v>
      </c>
      <c r="T2" s="15" t="s">
        <v>208</v>
      </c>
      <c r="U2" s="14" t="s">
        <v>368</v>
      </c>
      <c r="V2" s="14" t="s">
        <v>314</v>
      </c>
      <c r="W2" s="14" t="s">
        <v>205</v>
      </c>
      <c r="X2" s="14" t="s">
        <v>206</v>
      </c>
      <c r="Y2" s="14" t="s">
        <v>315</v>
      </c>
      <c r="Z2" s="15" t="s">
        <v>208</v>
      </c>
      <c r="AA2" s="14" t="s">
        <v>368</v>
      </c>
      <c r="AB2" s="14" t="s">
        <v>314</v>
      </c>
      <c r="AC2" s="14" t="s">
        <v>205</v>
      </c>
      <c r="AD2" s="14" t="s">
        <v>206</v>
      </c>
      <c r="AE2" s="14" t="s">
        <v>315</v>
      </c>
      <c r="AF2" s="15" t="s">
        <v>208</v>
      </c>
      <c r="AG2" s="14" t="s">
        <v>368</v>
      </c>
      <c r="AH2" s="14" t="s">
        <v>314</v>
      </c>
      <c r="AI2" s="14" t="s">
        <v>205</v>
      </c>
      <c r="AJ2" s="14" t="s">
        <v>206</v>
      </c>
      <c r="AK2" s="14" t="s">
        <v>315</v>
      </c>
      <c r="AL2" s="15" t="s">
        <v>208</v>
      </c>
      <c r="AM2" s="14" t="s">
        <v>368</v>
      </c>
      <c r="AN2" s="14" t="s">
        <v>314</v>
      </c>
      <c r="AO2" s="14" t="s">
        <v>205</v>
      </c>
      <c r="AP2" s="14" t="s">
        <v>206</v>
      </c>
      <c r="AQ2" s="14" t="s">
        <v>315</v>
      </c>
      <c r="AR2" s="15" t="s">
        <v>208</v>
      </c>
      <c r="AS2" s="14" t="s">
        <v>368</v>
      </c>
      <c r="AT2" s="14" t="s">
        <v>314</v>
      </c>
      <c r="AU2" s="14" t="s">
        <v>205</v>
      </c>
      <c r="AV2" s="14" t="s">
        <v>206</v>
      </c>
      <c r="AW2" s="14" t="s">
        <v>315</v>
      </c>
      <c r="AX2" s="15" t="s">
        <v>208</v>
      </c>
      <c r="AY2" s="14" t="s">
        <v>368</v>
      </c>
      <c r="AZ2" s="14" t="s">
        <v>314</v>
      </c>
      <c r="BA2" s="14" t="s">
        <v>205</v>
      </c>
      <c r="BB2" s="14" t="s">
        <v>206</v>
      </c>
      <c r="BC2" s="14" t="s">
        <v>315</v>
      </c>
      <c r="BD2" s="15" t="s">
        <v>208</v>
      </c>
      <c r="BE2" s="14" t="s">
        <v>368</v>
      </c>
      <c r="BF2" s="14" t="s">
        <v>314</v>
      </c>
      <c r="BG2" s="14" t="s">
        <v>205</v>
      </c>
      <c r="BH2" s="14" t="s">
        <v>206</v>
      </c>
      <c r="BI2" s="14" t="s">
        <v>315</v>
      </c>
      <c r="BJ2" s="15" t="s">
        <v>208</v>
      </c>
      <c r="BK2" s="14" t="s">
        <v>368</v>
      </c>
      <c r="BL2" s="14" t="s">
        <v>314</v>
      </c>
      <c r="BM2" s="14" t="s">
        <v>205</v>
      </c>
      <c r="BN2" s="14" t="s">
        <v>206</v>
      </c>
      <c r="BO2" s="14" t="s">
        <v>315</v>
      </c>
      <c r="BP2" s="15" t="s">
        <v>208</v>
      </c>
      <c r="BQ2" s="14" t="s">
        <v>368</v>
      </c>
      <c r="BR2" s="14" t="s">
        <v>314</v>
      </c>
      <c r="BS2" s="14" t="s">
        <v>205</v>
      </c>
      <c r="BT2" s="14" t="s">
        <v>206</v>
      </c>
      <c r="BU2" s="14" t="s">
        <v>315</v>
      </c>
      <c r="BV2" s="15" t="s">
        <v>208</v>
      </c>
      <c r="BW2" s="14" t="s">
        <v>368</v>
      </c>
      <c r="BX2" s="14" t="s">
        <v>314</v>
      </c>
      <c r="BY2" s="14" t="s">
        <v>205</v>
      </c>
      <c r="BZ2" s="14" t="s">
        <v>206</v>
      </c>
      <c r="CA2" s="14" t="s">
        <v>315</v>
      </c>
      <c r="CB2" s="15" t="s">
        <v>208</v>
      </c>
      <c r="CC2" s="14" t="s">
        <v>368</v>
      </c>
      <c r="CD2" s="14" t="s">
        <v>314</v>
      </c>
      <c r="CE2" s="14" t="s">
        <v>205</v>
      </c>
      <c r="CF2" s="14" t="s">
        <v>206</v>
      </c>
      <c r="CG2" s="14" t="s">
        <v>315</v>
      </c>
      <c r="CH2" s="15" t="s">
        <v>208</v>
      </c>
      <c r="CI2" s="14" t="s">
        <v>368</v>
      </c>
      <c r="CJ2" s="14" t="s">
        <v>314</v>
      </c>
      <c r="CK2" s="14" t="s">
        <v>205</v>
      </c>
      <c r="CL2" s="14" t="s">
        <v>206</v>
      </c>
      <c r="CM2" s="14" t="s">
        <v>315</v>
      </c>
      <c r="CN2" s="15" t="s">
        <v>208</v>
      </c>
      <c r="CO2" s="14" t="s">
        <v>368</v>
      </c>
      <c r="CP2" s="14" t="s">
        <v>314</v>
      </c>
      <c r="CQ2" s="14" t="s">
        <v>205</v>
      </c>
      <c r="CR2" s="14" t="s">
        <v>206</v>
      </c>
      <c r="CS2" s="14" t="s">
        <v>315</v>
      </c>
      <c r="CT2" s="15" t="s">
        <v>208</v>
      </c>
      <c r="CU2" s="14" t="s">
        <v>368</v>
      </c>
      <c r="CV2" s="14" t="s">
        <v>314</v>
      </c>
      <c r="CW2" s="14" t="s">
        <v>205</v>
      </c>
      <c r="CX2" s="14" t="s">
        <v>206</v>
      </c>
      <c r="CY2" s="14" t="s">
        <v>315</v>
      </c>
      <c r="CZ2" s="15" t="s">
        <v>208</v>
      </c>
      <c r="DA2" s="14" t="s">
        <v>368</v>
      </c>
      <c r="DB2" s="14" t="s">
        <v>314</v>
      </c>
      <c r="DC2" s="14" t="s">
        <v>205</v>
      </c>
      <c r="DD2" s="14" t="s">
        <v>206</v>
      </c>
      <c r="DE2" s="14" t="s">
        <v>315</v>
      </c>
      <c r="DF2" s="15" t="s">
        <v>208</v>
      </c>
      <c r="DG2" s="14" t="s">
        <v>368</v>
      </c>
      <c r="DH2" s="14" t="s">
        <v>314</v>
      </c>
      <c r="DI2" s="14" t="s">
        <v>205</v>
      </c>
      <c r="DJ2" s="14" t="s">
        <v>206</v>
      </c>
      <c r="DK2" s="14" t="s">
        <v>315</v>
      </c>
      <c r="DL2" s="15" t="s">
        <v>208</v>
      </c>
      <c r="DM2" s="14" t="s">
        <v>368</v>
      </c>
      <c r="DN2" s="14" t="s">
        <v>314</v>
      </c>
      <c r="DO2" s="14" t="s">
        <v>205</v>
      </c>
      <c r="DP2" s="14" t="s">
        <v>206</v>
      </c>
      <c r="DQ2" s="14" t="s">
        <v>315</v>
      </c>
      <c r="DR2" s="15" t="s">
        <v>208</v>
      </c>
      <c r="DS2" s="14" t="s">
        <v>368</v>
      </c>
      <c r="DT2" s="14" t="s">
        <v>314</v>
      </c>
      <c r="DU2" s="14" t="s">
        <v>205</v>
      </c>
      <c r="DV2" s="14" t="s">
        <v>206</v>
      </c>
      <c r="DW2" s="14" t="s">
        <v>315</v>
      </c>
      <c r="DX2" s="15" t="s">
        <v>208</v>
      </c>
      <c r="DY2" s="14" t="s">
        <v>368</v>
      </c>
      <c r="DZ2" s="14" t="s">
        <v>314</v>
      </c>
      <c r="EA2" s="14" t="s">
        <v>205</v>
      </c>
      <c r="EB2" s="14" t="s">
        <v>206</v>
      </c>
      <c r="EC2" s="14" t="s">
        <v>315</v>
      </c>
      <c r="ED2" s="15" t="s">
        <v>208</v>
      </c>
      <c r="EE2" s="14" t="s">
        <v>368</v>
      </c>
      <c r="EF2" s="14" t="s">
        <v>314</v>
      </c>
      <c r="EG2" s="14" t="s">
        <v>205</v>
      </c>
      <c r="EH2" s="14" t="s">
        <v>206</v>
      </c>
      <c r="EI2" s="14" t="s">
        <v>315</v>
      </c>
      <c r="EJ2" s="15" t="s">
        <v>208</v>
      </c>
      <c r="EK2" s="14" t="s">
        <v>368</v>
      </c>
      <c r="EL2" s="14" t="s">
        <v>314</v>
      </c>
      <c r="EM2" s="14" t="s">
        <v>205</v>
      </c>
      <c r="EN2" s="14" t="s">
        <v>206</v>
      </c>
      <c r="EO2" s="14" t="s">
        <v>315</v>
      </c>
      <c r="EP2" s="15" t="s">
        <v>208</v>
      </c>
      <c r="EQ2" s="14" t="s">
        <v>368</v>
      </c>
      <c r="ER2" s="14" t="s">
        <v>314</v>
      </c>
      <c r="ES2" s="14" t="s">
        <v>205</v>
      </c>
      <c r="ET2" s="14" t="s">
        <v>206</v>
      </c>
      <c r="EU2" s="14" t="s">
        <v>315</v>
      </c>
      <c r="EV2" s="15" t="s">
        <v>208</v>
      </c>
      <c r="EW2" s="14" t="s">
        <v>368</v>
      </c>
      <c r="EX2" s="14" t="s">
        <v>314</v>
      </c>
      <c r="EY2" s="14" t="s">
        <v>205</v>
      </c>
      <c r="EZ2" s="14" t="s">
        <v>206</v>
      </c>
      <c r="FA2" s="14" t="s">
        <v>315</v>
      </c>
      <c r="FB2" s="15" t="s">
        <v>208</v>
      </c>
      <c r="FC2" s="14" t="s">
        <v>368</v>
      </c>
      <c r="FD2" s="14" t="s">
        <v>314</v>
      </c>
      <c r="FE2" s="14" t="s">
        <v>205</v>
      </c>
      <c r="FF2" s="14" t="s">
        <v>206</v>
      </c>
      <c r="FG2" s="14" t="s">
        <v>315</v>
      </c>
      <c r="FH2" s="15" t="s">
        <v>208</v>
      </c>
      <c r="FI2" s="14" t="s">
        <v>368</v>
      </c>
      <c r="FJ2" s="14" t="s">
        <v>314</v>
      </c>
      <c r="FK2" s="14" t="s">
        <v>205</v>
      </c>
      <c r="FL2" s="14" t="s">
        <v>206</v>
      </c>
      <c r="FM2" s="14" t="s">
        <v>315</v>
      </c>
      <c r="FN2" s="15" t="s">
        <v>208</v>
      </c>
      <c r="FO2" s="14" t="s">
        <v>368</v>
      </c>
      <c r="FP2" s="14" t="s">
        <v>314</v>
      </c>
      <c r="FQ2" s="14" t="s">
        <v>205</v>
      </c>
      <c r="FR2" s="14" t="s">
        <v>206</v>
      </c>
      <c r="FS2" s="14" t="s">
        <v>315</v>
      </c>
      <c r="FT2" s="15" t="s">
        <v>208</v>
      </c>
      <c r="FU2" s="14" t="s">
        <v>368</v>
      </c>
      <c r="FV2" s="14" t="s">
        <v>314</v>
      </c>
      <c r="FW2" s="14" t="s">
        <v>205</v>
      </c>
      <c r="FX2" s="14" t="s">
        <v>206</v>
      </c>
      <c r="FY2" s="14" t="s">
        <v>315</v>
      </c>
      <c r="FZ2" s="15" t="s">
        <v>208</v>
      </c>
      <c r="GA2" s="14" t="s">
        <v>368</v>
      </c>
      <c r="GB2" s="14" t="s">
        <v>314</v>
      </c>
      <c r="GC2" s="14" t="s">
        <v>205</v>
      </c>
      <c r="GD2" s="14" t="s">
        <v>206</v>
      </c>
      <c r="GE2" s="14" t="s">
        <v>315</v>
      </c>
      <c r="GF2" s="15" t="s">
        <v>208</v>
      </c>
      <c r="GG2" s="14" t="s">
        <v>368</v>
      </c>
      <c r="GH2" s="14" t="s">
        <v>314</v>
      </c>
      <c r="GI2" s="14" t="s">
        <v>205</v>
      </c>
      <c r="GJ2" s="14" t="s">
        <v>206</v>
      </c>
      <c r="GK2" s="14" t="s">
        <v>315</v>
      </c>
      <c r="GL2" s="15" t="s">
        <v>208</v>
      </c>
      <c r="GM2" s="14" t="s">
        <v>368</v>
      </c>
      <c r="GN2" s="14" t="s">
        <v>314</v>
      </c>
      <c r="GO2" s="14" t="s">
        <v>205</v>
      </c>
      <c r="GP2" s="14" t="s">
        <v>206</v>
      </c>
      <c r="GQ2" s="14" t="s">
        <v>315</v>
      </c>
      <c r="GR2" s="15" t="s">
        <v>208</v>
      </c>
      <c r="GS2" s="14" t="s">
        <v>368</v>
      </c>
      <c r="GT2" s="14" t="s">
        <v>314</v>
      </c>
      <c r="GU2" s="14" t="s">
        <v>205</v>
      </c>
      <c r="GV2" s="14" t="s">
        <v>206</v>
      </c>
      <c r="GW2" s="14" t="s">
        <v>315</v>
      </c>
      <c r="GX2" s="15" t="s">
        <v>208</v>
      </c>
      <c r="GY2" s="14" t="s">
        <v>368</v>
      </c>
      <c r="GZ2" s="14" t="s">
        <v>314</v>
      </c>
      <c r="HA2" s="14" t="s">
        <v>205</v>
      </c>
      <c r="HB2" s="14" t="s">
        <v>206</v>
      </c>
      <c r="HC2" s="14" t="s">
        <v>315</v>
      </c>
      <c r="HD2" s="15" t="s">
        <v>208</v>
      </c>
      <c r="HE2" s="14" t="s">
        <v>368</v>
      </c>
      <c r="HF2" s="14" t="s">
        <v>314</v>
      </c>
      <c r="HG2" s="14" t="s">
        <v>205</v>
      </c>
      <c r="HH2" s="14" t="s">
        <v>206</v>
      </c>
      <c r="HI2" s="14" t="s">
        <v>315</v>
      </c>
      <c r="HJ2" s="15" t="s">
        <v>208</v>
      </c>
      <c r="HK2" s="14" t="s">
        <v>368</v>
      </c>
      <c r="HL2" s="14" t="s">
        <v>314</v>
      </c>
      <c r="HM2" s="14" t="s">
        <v>205</v>
      </c>
      <c r="HN2" s="14" t="s">
        <v>206</v>
      </c>
      <c r="HO2" s="14" t="s">
        <v>315</v>
      </c>
      <c r="HP2" s="15" t="s">
        <v>208</v>
      </c>
      <c r="HQ2" s="14" t="s">
        <v>368</v>
      </c>
      <c r="HR2" s="14" t="s">
        <v>314</v>
      </c>
      <c r="HS2" s="14" t="s">
        <v>205</v>
      </c>
      <c r="HT2" s="14" t="s">
        <v>206</v>
      </c>
      <c r="HU2" s="14" t="s">
        <v>315</v>
      </c>
      <c r="HV2" s="15" t="s">
        <v>208</v>
      </c>
      <c r="HW2" s="14" t="s">
        <v>368</v>
      </c>
      <c r="HX2" s="14" t="s">
        <v>314</v>
      </c>
      <c r="HY2" s="14" t="s">
        <v>205</v>
      </c>
      <c r="HZ2" s="14" t="s">
        <v>206</v>
      </c>
      <c r="IA2" s="14" t="s">
        <v>315</v>
      </c>
      <c r="IB2" s="15" t="s">
        <v>208</v>
      </c>
      <c r="IC2" s="14" t="s">
        <v>368</v>
      </c>
      <c r="ID2" s="14" t="s">
        <v>314</v>
      </c>
      <c r="IE2" s="14" t="s">
        <v>205</v>
      </c>
      <c r="IF2" s="14" t="s">
        <v>206</v>
      </c>
      <c r="IG2" s="14" t="s">
        <v>315</v>
      </c>
      <c r="IH2" s="15" t="s">
        <v>208</v>
      </c>
      <c r="II2" s="14" t="s">
        <v>368</v>
      </c>
      <c r="IJ2" s="14" t="s">
        <v>314</v>
      </c>
      <c r="IK2" s="14" t="s">
        <v>205</v>
      </c>
      <c r="IL2" s="14" t="s">
        <v>206</v>
      </c>
      <c r="IM2" s="14" t="s">
        <v>315</v>
      </c>
      <c r="IN2" s="15" t="s">
        <v>208</v>
      </c>
      <c r="IO2" s="14" t="s">
        <v>368</v>
      </c>
      <c r="IP2" s="14" t="s">
        <v>314</v>
      </c>
      <c r="IQ2" s="14" t="s">
        <v>205</v>
      </c>
      <c r="IR2" s="14" t="s">
        <v>206</v>
      </c>
      <c r="IS2" s="14" t="s">
        <v>315</v>
      </c>
      <c r="IT2" s="15" t="s">
        <v>208</v>
      </c>
      <c r="IU2" s="14" t="s">
        <v>368</v>
      </c>
      <c r="IV2" s="14" t="s">
        <v>314</v>
      </c>
      <c r="IW2" s="14" t="s">
        <v>205</v>
      </c>
      <c r="IX2" s="14" t="s">
        <v>206</v>
      </c>
      <c r="IY2" s="14" t="s">
        <v>315</v>
      </c>
      <c r="IZ2" s="15" t="s">
        <v>208</v>
      </c>
      <c r="JA2" s="14" t="s">
        <v>368</v>
      </c>
      <c r="JB2" s="14" t="s">
        <v>314</v>
      </c>
      <c r="JC2" s="14" t="s">
        <v>205</v>
      </c>
      <c r="JD2" s="14" t="s">
        <v>206</v>
      </c>
      <c r="JE2" s="14" t="s">
        <v>315</v>
      </c>
      <c r="JF2" s="15" t="s">
        <v>208</v>
      </c>
      <c r="JG2" s="14" t="s">
        <v>368</v>
      </c>
      <c r="JH2" s="14" t="s">
        <v>314</v>
      </c>
      <c r="JI2" s="14" t="s">
        <v>205</v>
      </c>
      <c r="JJ2" s="14" t="s">
        <v>206</v>
      </c>
      <c r="JK2" s="14" t="s">
        <v>315</v>
      </c>
      <c r="JL2" s="15" t="s">
        <v>208</v>
      </c>
      <c r="JM2" s="14" t="s">
        <v>368</v>
      </c>
      <c r="JN2" s="14" t="s">
        <v>314</v>
      </c>
      <c r="JO2" s="14" t="s">
        <v>205</v>
      </c>
      <c r="JP2" s="14" t="s">
        <v>206</v>
      </c>
      <c r="JQ2" s="14" t="s">
        <v>315</v>
      </c>
      <c r="JR2" s="15" t="s">
        <v>208</v>
      </c>
      <c r="JS2" s="14" t="s">
        <v>368</v>
      </c>
      <c r="JT2" s="14" t="s">
        <v>314</v>
      </c>
      <c r="JU2" s="14" t="s">
        <v>205</v>
      </c>
      <c r="JV2" s="14" t="s">
        <v>206</v>
      </c>
      <c r="JW2" s="14" t="s">
        <v>315</v>
      </c>
      <c r="JX2" s="15" t="s">
        <v>208</v>
      </c>
      <c r="JY2" s="14" t="s">
        <v>368</v>
      </c>
      <c r="JZ2" s="14" t="s">
        <v>314</v>
      </c>
      <c r="KA2" s="14" t="s">
        <v>205</v>
      </c>
      <c r="KB2" s="14" t="s">
        <v>206</v>
      </c>
      <c r="KC2" s="14" t="s">
        <v>315</v>
      </c>
      <c r="KD2" s="15" t="s">
        <v>208</v>
      </c>
      <c r="KE2" s="14" t="s">
        <v>368</v>
      </c>
      <c r="KF2" s="14" t="s">
        <v>314</v>
      </c>
      <c r="KG2" s="14" t="s">
        <v>205</v>
      </c>
      <c r="KH2" s="14" t="s">
        <v>206</v>
      </c>
      <c r="KI2" s="14" t="s">
        <v>315</v>
      </c>
      <c r="KJ2" s="15" t="s">
        <v>208</v>
      </c>
      <c r="KK2" s="14" t="s">
        <v>368</v>
      </c>
      <c r="KL2" s="14" t="s">
        <v>314</v>
      </c>
      <c r="KM2" s="14" t="s">
        <v>205</v>
      </c>
      <c r="KN2" s="14" t="s">
        <v>206</v>
      </c>
      <c r="KO2" s="14" t="s">
        <v>315</v>
      </c>
      <c r="KP2" s="15" t="s">
        <v>208</v>
      </c>
      <c r="KQ2" s="14" t="s">
        <v>368</v>
      </c>
      <c r="KR2" s="14" t="s">
        <v>314</v>
      </c>
      <c r="KS2" s="14" t="s">
        <v>205</v>
      </c>
      <c r="KT2" s="14" t="s">
        <v>206</v>
      </c>
      <c r="KU2" s="14" t="s">
        <v>315</v>
      </c>
      <c r="KV2" s="15" t="s">
        <v>208</v>
      </c>
      <c r="KW2" s="14" t="s">
        <v>368</v>
      </c>
      <c r="KX2" s="14" t="s">
        <v>314</v>
      </c>
      <c r="KY2" s="14" t="s">
        <v>205</v>
      </c>
      <c r="KZ2" s="14" t="s">
        <v>206</v>
      </c>
      <c r="LA2" s="14" t="s">
        <v>315</v>
      </c>
      <c r="LB2" s="15" t="s">
        <v>208</v>
      </c>
      <c r="LC2" s="14" t="s">
        <v>368</v>
      </c>
      <c r="LD2" s="14" t="s">
        <v>314</v>
      </c>
      <c r="LE2" s="14" t="s">
        <v>205</v>
      </c>
      <c r="LF2" s="14" t="s">
        <v>206</v>
      </c>
      <c r="LG2" s="14" t="s">
        <v>315</v>
      </c>
      <c r="LH2" s="15" t="s">
        <v>208</v>
      </c>
      <c r="LI2" s="14" t="s">
        <v>368</v>
      </c>
      <c r="LJ2" s="14" t="s">
        <v>314</v>
      </c>
      <c r="LK2" s="14" t="s">
        <v>205</v>
      </c>
      <c r="LL2" s="14" t="s">
        <v>206</v>
      </c>
      <c r="LM2" s="14" t="s">
        <v>315</v>
      </c>
      <c r="LN2" s="15" t="s">
        <v>208</v>
      </c>
      <c r="LO2" s="14" t="s">
        <v>368</v>
      </c>
      <c r="LP2" s="14" t="s">
        <v>314</v>
      </c>
      <c r="LQ2" s="14" t="s">
        <v>205</v>
      </c>
      <c r="LR2" s="14" t="s">
        <v>206</v>
      </c>
      <c r="LS2" s="14" t="s">
        <v>315</v>
      </c>
      <c r="LT2" s="15" t="s">
        <v>208</v>
      </c>
      <c r="LU2" s="14" t="s">
        <v>368</v>
      </c>
      <c r="LV2" s="14" t="s">
        <v>314</v>
      </c>
      <c r="LW2" s="14" t="s">
        <v>205</v>
      </c>
      <c r="LX2" s="14" t="s">
        <v>206</v>
      </c>
      <c r="LY2" s="14" t="s">
        <v>315</v>
      </c>
      <c r="LZ2" s="15" t="s">
        <v>208</v>
      </c>
      <c r="MA2" s="14" t="s">
        <v>368</v>
      </c>
      <c r="MB2" s="14" t="s">
        <v>314</v>
      </c>
      <c r="MC2" s="14" t="s">
        <v>205</v>
      </c>
      <c r="MD2" s="14" t="s">
        <v>206</v>
      </c>
      <c r="ME2" s="14" t="s">
        <v>315</v>
      </c>
      <c r="MF2" s="15" t="s">
        <v>208</v>
      </c>
      <c r="MG2" s="14" t="s">
        <v>368</v>
      </c>
      <c r="MH2" s="14" t="s">
        <v>314</v>
      </c>
      <c r="MI2" s="14" t="s">
        <v>205</v>
      </c>
      <c r="MJ2" s="14" t="s">
        <v>206</v>
      </c>
      <c r="MK2" s="14" t="s">
        <v>315</v>
      </c>
      <c r="ML2" s="15" t="s">
        <v>208</v>
      </c>
      <c r="MM2" s="14" t="s">
        <v>368</v>
      </c>
      <c r="MN2" s="14" t="s">
        <v>314</v>
      </c>
      <c r="MO2" s="14" t="s">
        <v>205</v>
      </c>
      <c r="MP2" s="14" t="s">
        <v>206</v>
      </c>
      <c r="MQ2" s="14" t="s">
        <v>315</v>
      </c>
      <c r="MR2" s="15" t="s">
        <v>208</v>
      </c>
      <c r="MS2" s="14" t="s">
        <v>368</v>
      </c>
      <c r="MT2" s="14" t="s">
        <v>314</v>
      </c>
      <c r="MU2" s="14" t="s">
        <v>205</v>
      </c>
      <c r="MV2" s="14" t="s">
        <v>206</v>
      </c>
      <c r="MW2" s="14" t="s">
        <v>315</v>
      </c>
      <c r="MX2" s="15" t="s">
        <v>208</v>
      </c>
      <c r="MY2" s="14" t="s">
        <v>368</v>
      </c>
      <c r="MZ2" s="14" t="s">
        <v>314</v>
      </c>
      <c r="NA2" s="14" t="s">
        <v>205</v>
      </c>
      <c r="NB2" s="14" t="s">
        <v>206</v>
      </c>
      <c r="NC2" s="14" t="s">
        <v>315</v>
      </c>
      <c r="ND2" s="15" t="s">
        <v>208</v>
      </c>
      <c r="NE2" s="14" t="s">
        <v>368</v>
      </c>
      <c r="NF2" s="14" t="s">
        <v>314</v>
      </c>
      <c r="NG2" s="14" t="s">
        <v>205</v>
      </c>
      <c r="NH2" s="14" t="s">
        <v>206</v>
      </c>
      <c r="NI2" s="14" t="s">
        <v>315</v>
      </c>
      <c r="NJ2" s="15" t="s">
        <v>208</v>
      </c>
    </row>
    <row r="3" spans="1:374" s="19" customFormat="1" x14ac:dyDescent="0.45">
      <c r="A3" s="281" t="s">
        <v>251</v>
      </c>
      <c r="B3" s="18" t="s">
        <v>369</v>
      </c>
      <c r="H3" s="20"/>
      <c r="N3" s="20"/>
      <c r="T3" s="20"/>
      <c r="Z3" s="20"/>
      <c r="AF3" s="20"/>
      <c r="AL3" s="20"/>
      <c r="AR3" s="20"/>
      <c r="AX3" s="20"/>
      <c r="BD3" s="20"/>
      <c r="BJ3" s="20"/>
      <c r="BP3" s="20"/>
      <c r="BV3" s="20"/>
      <c r="BY3" s="19">
        <v>-99.99</v>
      </c>
      <c r="CB3" s="20"/>
      <c r="CH3" s="20"/>
      <c r="CN3" s="20"/>
      <c r="CO3" s="19">
        <v>0.4224</v>
      </c>
      <c r="CP3" s="19">
        <v>0.97550000000000003</v>
      </c>
      <c r="CQ3" s="19">
        <v>0.97550000000000003</v>
      </c>
      <c r="CS3" s="19">
        <v>0.55310000000000004</v>
      </c>
      <c r="CT3" s="20">
        <v>0.55310000000000004</v>
      </c>
      <c r="CU3" s="19">
        <v>0.4224</v>
      </c>
      <c r="CV3" s="19">
        <v>0.97550000000000003</v>
      </c>
      <c r="CW3" s="19">
        <v>0.97550000000000003</v>
      </c>
      <c r="CY3" s="19">
        <v>0.55310000000000004</v>
      </c>
      <c r="CZ3" s="20">
        <v>0.55310000000000004</v>
      </c>
      <c r="DF3" s="20"/>
      <c r="DL3" s="20"/>
      <c r="DR3" s="20"/>
      <c r="DX3" s="20"/>
      <c r="EC3" s="19">
        <v>0.20899999999999999</v>
      </c>
      <c r="ED3" s="20">
        <v>0.20899999999999999</v>
      </c>
      <c r="EF3" s="19">
        <v>0.20899999999999999</v>
      </c>
      <c r="EG3" s="20">
        <v>0.20899999999999999</v>
      </c>
      <c r="EI3" s="19">
        <v>0.20899999999999999</v>
      </c>
      <c r="EJ3" s="20">
        <v>0.20899999999999999</v>
      </c>
      <c r="EK3" s="19">
        <f>5.8%*5</f>
        <v>0.28999999999999998</v>
      </c>
      <c r="EL3" s="19">
        <f t="shared" ref="EL3:EP3" si="0">5.8%*5</f>
        <v>0.28999999999999998</v>
      </c>
      <c r="EM3" s="19">
        <f t="shared" si="0"/>
        <v>0.28999999999999998</v>
      </c>
      <c r="EN3" s="19">
        <f t="shared" si="0"/>
        <v>0.28999999999999998</v>
      </c>
      <c r="EO3" s="19">
        <f t="shared" si="0"/>
        <v>0.28999999999999998</v>
      </c>
      <c r="EP3" s="20">
        <f t="shared" si="0"/>
        <v>0.28999999999999998</v>
      </c>
      <c r="EV3" s="20"/>
      <c r="FB3" s="20"/>
      <c r="FH3" s="20"/>
      <c r="FN3" s="20"/>
      <c r="FT3" s="20"/>
      <c r="FZ3" s="20"/>
      <c r="GA3" s="19">
        <v>1</v>
      </c>
      <c r="GB3" s="19">
        <v>1</v>
      </c>
      <c r="GC3" s="19">
        <v>1</v>
      </c>
      <c r="GD3" s="19">
        <v>0.5</v>
      </c>
      <c r="GE3" s="19">
        <v>0.5</v>
      </c>
      <c r="GF3" s="20">
        <v>0.5</v>
      </c>
      <c r="GH3" s="19">
        <v>0.47520000000000001</v>
      </c>
      <c r="GI3" s="19">
        <v>0.47520000000000001</v>
      </c>
      <c r="GK3" s="19">
        <v>0.47520000000000001</v>
      </c>
      <c r="GL3" s="20">
        <v>0.47520000000000001</v>
      </c>
      <c r="GN3" s="19">
        <v>0.47520000000000001</v>
      </c>
      <c r="GO3" s="19">
        <v>0.47520000000000001</v>
      </c>
      <c r="GQ3" s="19">
        <v>0.47520000000000001</v>
      </c>
      <c r="GR3" s="20">
        <v>0.47520000000000001</v>
      </c>
      <c r="GX3" s="20"/>
      <c r="HD3" s="20"/>
      <c r="HJ3" s="20"/>
      <c r="HK3" s="19">
        <v>0.16200000000000001</v>
      </c>
      <c r="HL3" s="19">
        <v>0.16200000000000001</v>
      </c>
      <c r="HM3" s="19">
        <v>0.16200000000000001</v>
      </c>
      <c r="HN3" s="19">
        <v>0.16200000000000001</v>
      </c>
      <c r="HO3" s="19">
        <v>0.16200000000000001</v>
      </c>
      <c r="HP3" s="20">
        <v>0.16200000000000001</v>
      </c>
      <c r="HV3" s="20"/>
      <c r="IB3" s="20"/>
      <c r="IH3" s="20"/>
      <c r="IN3" s="20"/>
      <c r="IT3" s="20"/>
      <c r="IU3" s="19">
        <f>0.91%*11</f>
        <v>0.10010000000000001</v>
      </c>
      <c r="IV3" s="19">
        <f>0.91%*11</f>
        <v>0.10010000000000001</v>
      </c>
      <c r="IW3" s="19">
        <f>0.91%*11</f>
        <v>0.10010000000000001</v>
      </c>
      <c r="IX3" s="19">
        <f>0.91%*11</f>
        <v>0.10010000000000001</v>
      </c>
      <c r="IY3" s="19">
        <f>0.91%*11</f>
        <v>0.10010000000000001</v>
      </c>
      <c r="IZ3" s="20">
        <v>0.10010000000000001</v>
      </c>
      <c r="JF3" s="20"/>
      <c r="JL3" s="20"/>
      <c r="JR3" s="20"/>
      <c r="JT3" s="19">
        <v>0.6</v>
      </c>
      <c r="JU3" s="19">
        <v>0.6</v>
      </c>
      <c r="JX3" s="20"/>
      <c r="JZ3" s="19">
        <v>0.6</v>
      </c>
      <c r="KA3" s="19">
        <v>0.6</v>
      </c>
      <c r="KD3" s="20"/>
      <c r="KJ3" s="20"/>
      <c r="KP3" s="20"/>
      <c r="KR3" s="19">
        <v>0.37440000000000001</v>
      </c>
      <c r="KS3" s="19">
        <v>0.37440000000000001</v>
      </c>
      <c r="KV3" s="20"/>
      <c r="KW3" s="19">
        <v>0.18010000000000001</v>
      </c>
      <c r="KX3" s="19">
        <v>0.18010000000000001</v>
      </c>
      <c r="KY3" s="19">
        <v>0.18010000000000001</v>
      </c>
      <c r="LB3" s="20"/>
      <c r="LC3" s="19">
        <v>0.30159999999999998</v>
      </c>
      <c r="LD3" s="19">
        <v>0.30159999999999998</v>
      </c>
      <c r="LE3" s="19">
        <v>0.30159999999999998</v>
      </c>
      <c r="LF3" s="19">
        <v>0.30159999999999998</v>
      </c>
      <c r="LG3" s="19">
        <v>0.30159999999999998</v>
      </c>
      <c r="LH3" s="20">
        <v>0.30159999999999998</v>
      </c>
      <c r="LI3" s="19">
        <v>0.64510000000000001</v>
      </c>
      <c r="LJ3" s="19">
        <v>0.64510000000000001</v>
      </c>
      <c r="LK3" s="19">
        <v>0.64510000000000001</v>
      </c>
      <c r="LL3" s="19">
        <v>0.64510000000000001</v>
      </c>
      <c r="LM3" s="19">
        <v>0.64510000000000001</v>
      </c>
      <c r="LN3" s="20">
        <v>0.64510000000000001</v>
      </c>
      <c r="LT3" s="20"/>
      <c r="LZ3" s="20"/>
      <c r="MF3" s="20"/>
      <c r="ML3" s="20"/>
      <c r="MR3" s="20"/>
      <c r="MX3" s="20"/>
      <c r="MZ3" s="19">
        <v>0.35010000000000002</v>
      </c>
      <c r="NA3" s="19">
        <v>0.35010000000000002</v>
      </c>
      <c r="NC3" s="19">
        <v>0.35010000000000002</v>
      </c>
      <c r="ND3" s="20">
        <v>0.35010000000000002</v>
      </c>
      <c r="NJ3" s="20"/>
    </row>
    <row r="4" spans="1:374" s="14" customFormat="1" x14ac:dyDescent="0.45">
      <c r="A4" s="282"/>
      <c r="B4" s="16" t="s">
        <v>370</v>
      </c>
      <c r="H4" s="15"/>
      <c r="N4" s="15"/>
      <c r="T4" s="15"/>
      <c r="Z4" s="15"/>
      <c r="AF4" s="15"/>
      <c r="AL4" s="15"/>
      <c r="AR4" s="15"/>
      <c r="AX4" s="15"/>
      <c r="BD4" s="15"/>
      <c r="BJ4" s="15"/>
      <c r="BP4" s="15"/>
      <c r="BV4" s="15"/>
      <c r="CB4" s="15"/>
      <c r="CH4" s="15"/>
      <c r="CN4" s="15"/>
      <c r="CT4" s="15"/>
      <c r="CZ4" s="15"/>
      <c r="DF4" s="15"/>
      <c r="DL4" s="15"/>
      <c r="DR4" s="15"/>
      <c r="DX4" s="15"/>
      <c r="ED4" s="15"/>
      <c r="EJ4" s="15"/>
      <c r="EP4" s="15"/>
      <c r="EV4" s="15"/>
      <c r="FB4" s="15"/>
      <c r="FH4" s="15"/>
      <c r="FN4" s="15"/>
      <c r="FT4" s="15"/>
      <c r="FZ4" s="15"/>
      <c r="GF4" s="15"/>
      <c r="GL4" s="15"/>
      <c r="GR4" s="15"/>
      <c r="GX4" s="15"/>
      <c r="HD4" s="15"/>
      <c r="HJ4" s="15"/>
      <c r="HP4" s="15"/>
      <c r="HV4" s="15"/>
      <c r="IB4" s="15"/>
      <c r="IH4" s="15"/>
      <c r="IN4" s="15"/>
      <c r="IT4" s="15"/>
      <c r="IZ4" s="15"/>
      <c r="JF4" s="15"/>
      <c r="JL4" s="15"/>
      <c r="JR4" s="15"/>
      <c r="JX4" s="15"/>
      <c r="KD4" s="15"/>
      <c r="KJ4" s="15"/>
      <c r="KP4" s="15"/>
      <c r="KV4" s="15"/>
      <c r="LB4" s="15"/>
      <c r="LH4" s="15"/>
      <c r="LN4" s="15"/>
      <c r="LT4" s="15"/>
      <c r="LZ4" s="15"/>
      <c r="MF4" s="15"/>
      <c r="ML4" s="15"/>
      <c r="MR4" s="15"/>
      <c r="MX4" s="15"/>
      <c r="ND4" s="15"/>
      <c r="NJ4" s="15"/>
    </row>
    <row r="5" spans="1:374" s="50" customFormat="1" x14ac:dyDescent="0.45">
      <c r="A5" s="282"/>
      <c r="B5" s="49" t="s">
        <v>371</v>
      </c>
      <c r="H5" s="51"/>
      <c r="N5" s="51"/>
      <c r="T5" s="51"/>
      <c r="Z5" s="51"/>
      <c r="AF5" s="51"/>
      <c r="AL5" s="51"/>
      <c r="AR5" s="51"/>
      <c r="AX5" s="51"/>
      <c r="BD5" s="51"/>
      <c r="BJ5" s="51"/>
      <c r="BP5" s="51"/>
      <c r="BV5" s="51"/>
      <c r="CB5" s="51"/>
      <c r="CH5" s="51"/>
      <c r="CN5" s="51"/>
      <c r="CT5" s="51"/>
      <c r="CZ5" s="51"/>
      <c r="DF5" s="51"/>
      <c r="DL5" s="51"/>
      <c r="DR5" s="51"/>
      <c r="DX5" s="51"/>
      <c r="ED5" s="51"/>
      <c r="EJ5" s="51"/>
      <c r="EP5" s="51"/>
      <c r="EV5" s="51"/>
      <c r="FB5" s="51"/>
      <c r="FH5" s="51"/>
      <c r="FN5" s="51"/>
      <c r="FT5" s="51"/>
      <c r="FZ5" s="51"/>
      <c r="GF5" s="51"/>
      <c r="GL5" s="51"/>
      <c r="GR5" s="51"/>
      <c r="GX5" s="51"/>
      <c r="HD5" s="51"/>
      <c r="HJ5" s="51"/>
      <c r="HP5" s="51"/>
      <c r="HV5" s="51"/>
      <c r="IB5" s="51"/>
      <c r="IH5" s="51"/>
      <c r="IN5" s="51"/>
      <c r="IT5" s="51"/>
      <c r="IZ5" s="51"/>
      <c r="JF5" s="51"/>
      <c r="JL5" s="51"/>
      <c r="JR5" s="51"/>
      <c r="JX5" s="51"/>
      <c r="KD5" s="51"/>
      <c r="KJ5" s="51"/>
      <c r="KP5" s="51"/>
      <c r="KV5" s="51"/>
      <c r="LB5" s="51"/>
      <c r="LH5" s="51"/>
      <c r="LN5" s="51"/>
      <c r="LT5" s="51"/>
      <c r="LZ5" s="51"/>
      <c r="MF5" s="51"/>
      <c r="ML5" s="51"/>
      <c r="MR5" s="51"/>
      <c r="MX5" s="51"/>
      <c r="ND5" s="51"/>
      <c r="NJ5" s="51"/>
    </row>
    <row r="6" spans="1:374" x14ac:dyDescent="0.45">
      <c r="A6" s="272" t="s">
        <v>255</v>
      </c>
      <c r="B6" s="17" t="s">
        <v>256</v>
      </c>
      <c r="D6" s="14">
        <v>0.95040000000000002</v>
      </c>
      <c r="E6" s="14">
        <v>0.95040000000000002</v>
      </c>
      <c r="G6" s="14">
        <v>0.95040000000000002</v>
      </c>
      <c r="H6" s="15">
        <v>0.95040000000000002</v>
      </c>
      <c r="J6" s="14">
        <v>1.1512</v>
      </c>
      <c r="K6" s="14">
        <v>1.1512</v>
      </c>
      <c r="P6" s="14">
        <v>1.1512</v>
      </c>
      <c r="Q6" s="14">
        <v>1.1512</v>
      </c>
      <c r="U6" s="14">
        <f>2.71%*(메인!$F$8*(1+버프정리!$D$32)+버프정리!$D$5)/메인!$F$7</f>
        <v>1.3044638851523498</v>
      </c>
      <c r="V6" s="14">
        <f>2.71%*(메인!$F$8*(1+버프정리!$J$32)+버프정리!$J$5)/메인!$F$7</f>
        <v>1.3044638851523498</v>
      </c>
      <c r="W6" s="14">
        <f>2.71%*(메인!$F$8*(1+버프정리!$P$32)+버프정리!$P$5)/메인!$F$7</f>
        <v>1.3044638851523498</v>
      </c>
      <c r="Y6" s="14">
        <f>2.71%*(메인!$F$8*(1+버프정리!$AB$32)+버프정리!$AB$5)/메인!$F$7</f>
        <v>1.3044638851523498</v>
      </c>
      <c r="Z6" s="15">
        <f>2.71%*(메인!$F$8*(1+버프정리!$AH$32)+버프정리!$AH$5)/메인!$F$7</f>
        <v>1.3044638851523498</v>
      </c>
      <c r="AS6" s="14">
        <v>0.88119999999999998</v>
      </c>
      <c r="AT6" s="14">
        <f>88.12%+75.24%</f>
        <v>1.6335999999999999</v>
      </c>
      <c r="AU6" s="14">
        <f>88.12%+75.24%</f>
        <v>1.6335999999999999</v>
      </c>
      <c r="AW6" s="14">
        <v>0.75239999999999996</v>
      </c>
      <c r="AX6" s="15">
        <v>0.75239999999999996</v>
      </c>
      <c r="AY6" s="14">
        <v>0.88119999999999998</v>
      </c>
      <c r="AZ6" s="14">
        <f>88.12%+75.24%</f>
        <v>1.6335999999999999</v>
      </c>
      <c r="BA6" s="14">
        <f>88.12%+75.24%</f>
        <v>1.6335999999999999</v>
      </c>
      <c r="BC6" s="14">
        <v>0.75239999999999996</v>
      </c>
      <c r="BD6" s="15">
        <v>0.75239999999999996</v>
      </c>
      <c r="BL6" s="14">
        <v>0.71419999999999995</v>
      </c>
      <c r="BM6" s="14">
        <v>0.71419999999999995</v>
      </c>
      <c r="BW6" s="14">
        <v>0.17280000000000001</v>
      </c>
      <c r="BX6" s="14">
        <v>0.17280000000000001</v>
      </c>
      <c r="BZ6" s="14">
        <v>0.17280000000000001</v>
      </c>
      <c r="CA6" s="14">
        <v>0.17280000000000001</v>
      </c>
      <c r="CB6" s="15">
        <v>0.17280000000000001</v>
      </c>
      <c r="CJ6" s="14">
        <v>0.75729999999999997</v>
      </c>
      <c r="CK6" s="14">
        <v>0.75729999999999997</v>
      </c>
      <c r="CM6" s="14">
        <v>0.75729999999999997</v>
      </c>
      <c r="CN6" s="15">
        <v>0.75729999999999997</v>
      </c>
      <c r="DM6" s="14">
        <f>23.15%*5</f>
        <v>1.1575</v>
      </c>
      <c r="DN6" s="14">
        <f t="shared" ref="DN6:DR6" si="1">23.15%*5</f>
        <v>1.1575</v>
      </c>
      <c r="DO6" s="14">
        <f t="shared" si="1"/>
        <v>1.1575</v>
      </c>
      <c r="DP6" s="14">
        <f t="shared" si="1"/>
        <v>1.1575</v>
      </c>
      <c r="DQ6" s="14">
        <f t="shared" si="1"/>
        <v>1.1575</v>
      </c>
      <c r="DR6" s="15">
        <f t="shared" si="1"/>
        <v>1.1575</v>
      </c>
      <c r="DY6" s="14">
        <f>10%*(메인!$F$8*(1+버프정리!$J$32)+버프정리!$J$5)/메인!$F$7</f>
        <v>4.8135198714108842</v>
      </c>
      <c r="DZ6" s="14">
        <f>3.2%*(메인!$F$8*(1+버프정리!$J$32)+버프정리!$J$5)/메인!$F$7</f>
        <v>1.5403263588514828</v>
      </c>
      <c r="EA6" s="14">
        <f>3.2%*(메인!$F$8*(1+버프정리!$P$32)+버프정리!$P$5)/메인!$F$7</f>
        <v>1.5403263588514828</v>
      </c>
      <c r="EE6" s="14">
        <f>10%*(메인!$F$8*(1+버프정리!$J$32)+버프정리!$J$5)/메인!$F$7</f>
        <v>4.8135198714108842</v>
      </c>
      <c r="EK6" s="14">
        <f>28%*5</f>
        <v>1.4000000000000001</v>
      </c>
      <c r="ER6" s="14">
        <f>11.22%*4/5</f>
        <v>8.9760000000000006E-2</v>
      </c>
      <c r="ES6" s="14">
        <f>11.22%*18/5</f>
        <v>0.40392</v>
      </c>
      <c r="EU6" s="14">
        <f>11.22%*4/5</f>
        <v>8.9760000000000006E-2</v>
      </c>
      <c r="EV6" s="15">
        <f>11.22%*18/5</f>
        <v>0.40392</v>
      </c>
      <c r="EX6" s="14">
        <f>11.22%*10.5/7.5</f>
        <v>0.15708000000000003</v>
      </c>
      <c r="EY6" s="14">
        <f>11.22%*34.5/7.5</f>
        <v>0.51612000000000002</v>
      </c>
      <c r="FA6" s="14">
        <f>11.22%*18/5</f>
        <v>0.40392</v>
      </c>
      <c r="FB6" s="15">
        <f>11.22%*34.5/7.5</f>
        <v>0.51612000000000002</v>
      </c>
      <c r="FC6" s="14">
        <v>0.58079999999999998</v>
      </c>
      <c r="FD6" s="14">
        <v>0.58079999999999998</v>
      </c>
      <c r="FE6" s="14">
        <v>0.58079999999999998</v>
      </c>
      <c r="FG6" s="14">
        <v>1.2143999999999999</v>
      </c>
      <c r="FH6" s="20">
        <v>1.2143999999999999</v>
      </c>
      <c r="FI6" s="14">
        <v>0.1</v>
      </c>
      <c r="FJ6" s="14">
        <v>0.1</v>
      </c>
      <c r="FK6" s="14">
        <v>0.1</v>
      </c>
      <c r="FL6" s="14">
        <v>0.1</v>
      </c>
      <c r="FM6" s="14">
        <v>0.1</v>
      </c>
      <c r="FN6" s="15">
        <v>0.1</v>
      </c>
      <c r="GS6" s="14">
        <v>8.2799999999999999E-2</v>
      </c>
      <c r="GT6" s="14">
        <v>8.2799999999999999E-2</v>
      </c>
      <c r="GU6" s="14">
        <v>8.2799999999999999E-2</v>
      </c>
      <c r="GV6" s="14">
        <v>8.2799999999999999E-2</v>
      </c>
      <c r="GW6" s="14">
        <v>8.2799999999999999E-2</v>
      </c>
      <c r="GX6" s="15">
        <v>8.2799999999999999E-2</v>
      </c>
      <c r="HE6" s="14">
        <v>1.1870000000000001</v>
      </c>
      <c r="HF6" s="14">
        <v>2.2000000000000002</v>
      </c>
      <c r="HG6" s="14">
        <v>2.2000000000000002</v>
      </c>
      <c r="HH6" s="14">
        <v>1.1870000000000001</v>
      </c>
      <c r="HI6" s="14">
        <v>1.1870000000000001</v>
      </c>
      <c r="HJ6" s="15">
        <v>1.1870000000000001</v>
      </c>
      <c r="HR6" s="14">
        <v>0.62539999999999996</v>
      </c>
      <c r="HS6" s="14">
        <v>0.62539999999999996</v>
      </c>
      <c r="II6" s="19">
        <f>24.5%+49%+73.6%</f>
        <v>1.4710000000000001</v>
      </c>
      <c r="IJ6" s="19">
        <f>24.5%+49%+73.6%</f>
        <v>1.4710000000000001</v>
      </c>
      <c r="IK6" s="19">
        <f>24.5%+49%+73.6%</f>
        <v>1.4710000000000001</v>
      </c>
      <c r="IL6" s="19">
        <f>24.5%+49%+73.6%</f>
        <v>1.4710000000000001</v>
      </c>
      <c r="IM6" s="19">
        <f>24.5%+49%+73.6%</f>
        <v>1.4710000000000001</v>
      </c>
      <c r="IN6" s="20">
        <v>1.4710000000000001</v>
      </c>
      <c r="IO6" s="14">
        <v>0.85119999999999996</v>
      </c>
      <c r="IP6" s="14">
        <v>0.85119999999999996</v>
      </c>
      <c r="IQ6" s="14">
        <v>0.85119999999999996</v>
      </c>
      <c r="IR6" s="14">
        <v>0.85119999999999996</v>
      </c>
      <c r="IS6" s="14">
        <v>0.85119999999999996</v>
      </c>
      <c r="IT6" s="15">
        <v>0.85119999999999996</v>
      </c>
      <c r="IU6" s="14">
        <v>1.81</v>
      </c>
      <c r="IV6" s="14">
        <v>1.81</v>
      </c>
      <c r="IW6" s="14">
        <v>1.81</v>
      </c>
      <c r="IX6" s="14">
        <v>1.81</v>
      </c>
      <c r="IY6" s="14">
        <v>1.81</v>
      </c>
      <c r="IZ6" s="15">
        <v>1.81</v>
      </c>
      <c r="JB6" s="14">
        <v>1.401</v>
      </c>
      <c r="JC6" s="14">
        <v>1.401</v>
      </c>
      <c r="JE6" s="14">
        <v>0.70009999999999994</v>
      </c>
      <c r="JF6" s="15">
        <v>0.70009999999999994</v>
      </c>
      <c r="JH6" s="14">
        <v>0.70009999999999994</v>
      </c>
      <c r="JI6" s="14">
        <v>0.70009999999999994</v>
      </c>
      <c r="JK6" s="14">
        <v>0.70009999999999994</v>
      </c>
      <c r="JL6" s="15">
        <v>0.70009999999999994</v>
      </c>
      <c r="JN6" s="14">
        <v>0.1051</v>
      </c>
      <c r="JO6" s="14">
        <v>0.1051</v>
      </c>
      <c r="JQ6" s="14">
        <v>0.1051</v>
      </c>
      <c r="JR6" s="15">
        <v>0.1051</v>
      </c>
      <c r="JT6" s="14">
        <v>0.4</v>
      </c>
      <c r="JU6" s="14">
        <v>0.4</v>
      </c>
      <c r="JZ6" s="14">
        <v>0.4</v>
      </c>
      <c r="KA6" s="14">
        <v>0.4</v>
      </c>
      <c r="KF6" s="19">
        <v>0.40029999999999999</v>
      </c>
      <c r="KG6" s="19">
        <v>0.40029999999999999</v>
      </c>
      <c r="KH6" s="19"/>
      <c r="KI6" s="19">
        <v>0.40029999999999999</v>
      </c>
      <c r="KJ6" s="20">
        <v>0.40029999999999999</v>
      </c>
      <c r="KK6" s="14">
        <f>60*0.96%</f>
        <v>0.57599999999999996</v>
      </c>
      <c r="KL6" s="14">
        <f>60*0.96%</f>
        <v>0.57599999999999996</v>
      </c>
      <c r="KM6" s="14">
        <f>60*0.96%</f>
        <v>0.57599999999999996</v>
      </c>
      <c r="KN6" s="14">
        <f>60*0.96%</f>
        <v>0.57599999999999996</v>
      </c>
      <c r="KO6" s="14">
        <f>60*0.96%</f>
        <v>0.57599999999999996</v>
      </c>
      <c r="KP6" s="15">
        <v>0.57599999999999996</v>
      </c>
      <c r="LC6" s="14">
        <v>0.152</v>
      </c>
      <c r="LD6" s="14">
        <v>0.152</v>
      </c>
      <c r="LE6" s="14">
        <v>0.152</v>
      </c>
      <c r="LF6" s="14">
        <v>0.152</v>
      </c>
      <c r="LG6" s="14">
        <v>0.152</v>
      </c>
      <c r="LH6" s="15">
        <v>0.152</v>
      </c>
      <c r="LP6" s="14">
        <v>1.6</v>
      </c>
      <c r="LS6" s="14">
        <v>1.6</v>
      </c>
      <c r="MH6" s="19">
        <f>15.48%+20.66%/2</f>
        <v>0.2581</v>
      </c>
      <c r="MI6" s="19">
        <f>15.48%+20.66%</f>
        <v>0.3614</v>
      </c>
      <c r="MJ6" s="19"/>
      <c r="MK6" s="19">
        <f>15.48%+20.66%/2</f>
        <v>0.2581</v>
      </c>
      <c r="ML6" s="20">
        <f>15.48%+20.66%</f>
        <v>0.3614</v>
      </c>
      <c r="MN6" s="14">
        <v>0.2</v>
      </c>
      <c r="MO6" s="14">
        <v>0.2</v>
      </c>
      <c r="MQ6" s="14">
        <v>0.2</v>
      </c>
      <c r="MR6" s="15">
        <v>0.2</v>
      </c>
      <c r="MS6" s="14">
        <v>0.46839999999999998</v>
      </c>
      <c r="MT6" s="14">
        <f>46.84%+73.92%</f>
        <v>1.2076</v>
      </c>
      <c r="MU6" s="14">
        <f>46.84%+73.92%</f>
        <v>1.2076</v>
      </c>
      <c r="MV6" s="14">
        <v>0.46839999999999998</v>
      </c>
      <c r="MW6" s="14">
        <f>46.84%+73.92%</f>
        <v>1.2076</v>
      </c>
      <c r="MX6" s="15">
        <v>1.2076</v>
      </c>
    </row>
    <row r="7" spans="1:374" x14ac:dyDescent="0.45">
      <c r="A7" s="272"/>
      <c r="B7" s="17" t="s">
        <v>257</v>
      </c>
      <c r="EK7" s="14">
        <f>2.71%+13.77%</f>
        <v>0.1648</v>
      </c>
      <c r="EL7" s="14">
        <f t="shared" ref="EL7" si="2">2.71%+13.77%</f>
        <v>0.1648</v>
      </c>
      <c r="EM7" s="14">
        <v>0.13769999999999999</v>
      </c>
      <c r="EN7" s="14">
        <v>0.13769999999999999</v>
      </c>
      <c r="EO7" s="14">
        <v>0.13769999999999999</v>
      </c>
      <c r="EP7" s="15">
        <v>0.13769999999999999</v>
      </c>
      <c r="IO7" s="14">
        <v>0.32190000000000002</v>
      </c>
      <c r="IP7" s="14">
        <v>0.32190000000000002</v>
      </c>
      <c r="IQ7" s="14">
        <v>0.32190000000000002</v>
      </c>
      <c r="IR7" s="14">
        <v>0.32190000000000002</v>
      </c>
      <c r="IS7" s="14">
        <v>0.32190000000000002</v>
      </c>
      <c r="IT7" s="15">
        <v>0.32190000000000002</v>
      </c>
    </row>
    <row r="8" spans="1:374" s="19" customFormat="1" x14ac:dyDescent="0.45">
      <c r="A8" s="280" t="s">
        <v>258</v>
      </c>
      <c r="B8" s="21" t="s">
        <v>259</v>
      </c>
      <c r="H8" s="20"/>
      <c r="N8" s="20"/>
      <c r="T8" s="20"/>
      <c r="Z8" s="20"/>
      <c r="AF8" s="20"/>
      <c r="AL8" s="20"/>
      <c r="AR8" s="20"/>
      <c r="AX8" s="20"/>
      <c r="BD8" s="20"/>
      <c r="BF8" s="19">
        <v>0.2787</v>
      </c>
      <c r="BG8" s="19">
        <v>0.2787</v>
      </c>
      <c r="BI8" s="19">
        <v>0.2787</v>
      </c>
      <c r="BJ8" s="20">
        <v>0.2787</v>
      </c>
      <c r="BP8" s="20"/>
      <c r="BR8" s="19">
        <v>0.55120000000000002</v>
      </c>
      <c r="BS8" s="19">
        <v>0.55120000000000002</v>
      </c>
      <c r="BU8" s="19">
        <v>0.55120000000000002</v>
      </c>
      <c r="BV8" s="20">
        <v>0.55120000000000002</v>
      </c>
      <c r="CB8" s="20"/>
      <c r="CC8" s="19">
        <v>0.62539999999999996</v>
      </c>
      <c r="CD8" s="19">
        <v>0.62539999999999996</v>
      </c>
      <c r="CE8" s="19">
        <v>0.62539999999999996</v>
      </c>
      <c r="CH8" s="20"/>
      <c r="CI8" s="19">
        <v>0.31680000000000003</v>
      </c>
      <c r="CJ8" s="19">
        <v>0.31680000000000003</v>
      </c>
      <c r="CK8" s="19">
        <v>0.31680000000000003</v>
      </c>
      <c r="CN8" s="20"/>
      <c r="CT8" s="20"/>
      <c r="CZ8" s="20"/>
      <c r="DA8" s="19">
        <v>0.70120000000000005</v>
      </c>
      <c r="DB8" s="19">
        <v>0.70120000000000005</v>
      </c>
      <c r="DC8" s="19">
        <v>0.70120000000000005</v>
      </c>
      <c r="DE8" s="19">
        <v>0.70120000000000005</v>
      </c>
      <c r="DF8" s="20">
        <v>0.70120000000000005</v>
      </c>
      <c r="DG8" s="19">
        <v>0.70120000000000005</v>
      </c>
      <c r="DH8" s="19">
        <v>0.70120000000000005</v>
      </c>
      <c r="DI8" s="19">
        <v>0.70120000000000005</v>
      </c>
      <c r="DK8" s="19">
        <v>0.70120000000000005</v>
      </c>
      <c r="DL8" s="20">
        <v>0.70120000000000005</v>
      </c>
      <c r="DR8" s="20"/>
      <c r="DS8" s="19">
        <v>0.29380000000000001</v>
      </c>
      <c r="DT8" s="19">
        <v>0.29380000000000001</v>
      </c>
      <c r="DU8" s="19">
        <v>0.29380000000000001</v>
      </c>
      <c r="DV8" s="19">
        <v>0.29380000000000001</v>
      </c>
      <c r="DW8" s="19">
        <v>0.29380000000000001</v>
      </c>
      <c r="DX8" s="20">
        <v>0.29380000000000001</v>
      </c>
      <c r="ED8" s="20"/>
      <c r="EJ8" s="20"/>
      <c r="EP8" s="20"/>
      <c r="EQ8" s="19">
        <v>0.1056</v>
      </c>
      <c r="ER8" s="19">
        <v>0.1056</v>
      </c>
      <c r="ES8" s="19">
        <v>0.1056</v>
      </c>
      <c r="EV8" s="20"/>
      <c r="EW8" s="19">
        <v>0.1056</v>
      </c>
      <c r="EX8" s="19">
        <v>0.1056</v>
      </c>
      <c r="EY8" s="19">
        <v>0.1056</v>
      </c>
      <c r="FB8" s="20"/>
      <c r="FG8" s="19">
        <v>0.2112</v>
      </c>
      <c r="FH8" s="20">
        <v>0.2112</v>
      </c>
      <c r="FN8" s="20"/>
      <c r="FT8" s="20"/>
      <c r="FZ8" s="20"/>
      <c r="GF8" s="20"/>
      <c r="GL8" s="20"/>
      <c r="GR8" s="20"/>
      <c r="GX8" s="20"/>
      <c r="GZ8" s="19">
        <v>0.43099999999999999</v>
      </c>
      <c r="HA8" s="19">
        <v>0.43099999999999999</v>
      </c>
      <c r="HC8" s="19">
        <v>0.43099999999999999</v>
      </c>
      <c r="HD8" s="20">
        <v>0.43099999999999999</v>
      </c>
      <c r="HJ8" s="20"/>
      <c r="HP8" s="20"/>
      <c r="HV8" s="20"/>
      <c r="HW8" s="19">
        <v>7.8200000000000006E-2</v>
      </c>
      <c r="HX8" s="19">
        <v>7.8200000000000006E-2</v>
      </c>
      <c r="HY8" s="19">
        <v>7.8200000000000006E-2</v>
      </c>
      <c r="HZ8" s="19">
        <v>7.8200000000000006E-2</v>
      </c>
      <c r="IA8" s="19">
        <v>7.8200000000000006E-2</v>
      </c>
      <c r="IB8" s="20">
        <v>7.8200000000000006E-2</v>
      </c>
      <c r="IC8" s="19">
        <v>0.15640000000000001</v>
      </c>
      <c r="ID8" s="19">
        <v>0.15640000000000001</v>
      </c>
      <c r="IE8" s="19">
        <v>0.15640000000000001</v>
      </c>
      <c r="IF8" s="19">
        <v>0.15640000000000001</v>
      </c>
      <c r="IG8" s="19">
        <v>0.15640000000000001</v>
      </c>
      <c r="IH8" s="20">
        <v>0.15640000000000001</v>
      </c>
      <c r="II8" s="19">
        <v>0.57079999999999997</v>
      </c>
      <c r="IJ8" s="19">
        <v>0.57079999999999997</v>
      </c>
      <c r="IK8" s="19">
        <v>0.57079999999999997</v>
      </c>
      <c r="IL8" s="19">
        <v>0.57079999999999997</v>
      </c>
      <c r="IM8" s="19">
        <v>0.57079999999999997</v>
      </c>
      <c r="IN8" s="20">
        <v>0.57079999999999997</v>
      </c>
      <c r="IO8" s="19">
        <v>0.75170000000000003</v>
      </c>
      <c r="IP8" s="19">
        <v>0.75170000000000003</v>
      </c>
      <c r="IQ8" s="19">
        <v>0.75170000000000003</v>
      </c>
      <c r="IR8" s="19">
        <v>0.75170000000000003</v>
      </c>
      <c r="IS8" s="19">
        <v>0.75170000000000003</v>
      </c>
      <c r="IT8" s="20">
        <v>0.75170000000000003</v>
      </c>
      <c r="IU8" s="19">
        <v>0.1014</v>
      </c>
      <c r="IV8" s="19">
        <v>0.1014</v>
      </c>
      <c r="IW8" s="19">
        <v>0.1014</v>
      </c>
      <c r="IZ8" s="20"/>
      <c r="JA8" s="19">
        <v>1.202</v>
      </c>
      <c r="JB8" s="19">
        <v>1.202</v>
      </c>
      <c r="JC8" s="19">
        <v>1.202</v>
      </c>
      <c r="JD8" s="19">
        <v>0.60009999999999997</v>
      </c>
      <c r="JE8" s="19">
        <v>0.60009999999999997</v>
      </c>
      <c r="JF8" s="20">
        <v>0.60009999999999997</v>
      </c>
      <c r="JG8" s="19">
        <v>0.60189999999999999</v>
      </c>
      <c r="JH8" s="19">
        <v>0.60189999999999999</v>
      </c>
      <c r="JI8" s="19">
        <v>0.60189999999999999</v>
      </c>
      <c r="JL8" s="20"/>
      <c r="JN8" s="19">
        <v>0.65249999999999997</v>
      </c>
      <c r="JO8" s="19">
        <v>0.65249999999999997</v>
      </c>
      <c r="JQ8" s="19">
        <v>0.65249999999999997</v>
      </c>
      <c r="JR8" s="20">
        <v>0.65249999999999997</v>
      </c>
      <c r="JX8" s="20"/>
      <c r="KD8" s="20"/>
      <c r="KF8" s="19">
        <v>0.75</v>
      </c>
      <c r="KG8" s="19">
        <v>0.75</v>
      </c>
      <c r="KJ8" s="20"/>
      <c r="KP8" s="20"/>
      <c r="KQ8" s="19">
        <v>0.23099999999999998</v>
      </c>
      <c r="KR8" s="19">
        <f>10.62%+12.48%</f>
        <v>0.23099999999999998</v>
      </c>
      <c r="KS8" s="19">
        <f>10.62%+12.48%</f>
        <v>0.23099999999999998</v>
      </c>
      <c r="KU8" s="19">
        <v>0.1062</v>
      </c>
      <c r="KV8" s="20">
        <v>0.1062</v>
      </c>
      <c r="KX8" s="19">
        <v>8.0199999999999994E-2</v>
      </c>
      <c r="KY8" s="19">
        <v>8.0199999999999994E-2</v>
      </c>
      <c r="LA8" s="19">
        <v>8.0199999999999994E-2</v>
      </c>
      <c r="LB8" s="20">
        <v>8.0199999999999994E-2</v>
      </c>
      <c r="LC8" s="19">
        <f>35.45%+20.27%</f>
        <v>0.55720000000000003</v>
      </c>
      <c r="LD8" s="19">
        <f>35.45%+20.27%</f>
        <v>0.55720000000000003</v>
      </c>
      <c r="LE8" s="19">
        <f>35.45%+20.27%</f>
        <v>0.55720000000000003</v>
      </c>
      <c r="LF8" s="19">
        <f>35.45%+20.27%</f>
        <v>0.55720000000000003</v>
      </c>
      <c r="LG8" s="19">
        <f>35.45%+20.27%</f>
        <v>0.55720000000000003</v>
      </c>
      <c r="LH8" s="20">
        <v>0.55720000000000003</v>
      </c>
      <c r="LI8" s="19">
        <v>0.57230000000000003</v>
      </c>
      <c r="LJ8" s="19">
        <v>0.57230000000000003</v>
      </c>
      <c r="LK8" s="19">
        <v>0.57230000000000003</v>
      </c>
      <c r="LL8" s="19">
        <v>0.57230000000000003</v>
      </c>
      <c r="LM8" s="19">
        <v>0.57230000000000003</v>
      </c>
      <c r="LN8" s="20">
        <v>0.57230000000000003</v>
      </c>
      <c r="LO8" s="19">
        <f>231%+20.83%*메인!$C$4</f>
        <v>2.31</v>
      </c>
      <c r="LP8" s="19">
        <f>231%+20.83%*메인!$C$4+50%</f>
        <v>2.81</v>
      </c>
      <c r="LQ8" s="19">
        <f>231%+20.83%*메인!$C$4+50%</f>
        <v>2.81</v>
      </c>
      <c r="LR8" s="19">
        <f>231%+20.83%*메인!$C$4</f>
        <v>2.31</v>
      </c>
      <c r="LS8" s="19">
        <f>231%+20.83%*메인!$C$4</f>
        <v>2.31</v>
      </c>
      <c r="LT8" s="20">
        <f>231%+20.83%*메인!$C$4</f>
        <v>2.31</v>
      </c>
      <c r="LZ8" s="20"/>
      <c r="MF8" s="20"/>
      <c r="MH8" s="19">
        <v>0.48199999999999998</v>
      </c>
      <c r="MI8" s="19">
        <f>30.8%+48.2%</f>
        <v>0.79</v>
      </c>
      <c r="MK8" s="19">
        <v>0.48199999999999998</v>
      </c>
      <c r="ML8" s="20">
        <f>30.8%+48.2%</f>
        <v>0.79</v>
      </c>
      <c r="MR8" s="20"/>
      <c r="MT8" s="19">
        <v>0.8448</v>
      </c>
      <c r="MU8" s="19">
        <v>0.8448</v>
      </c>
      <c r="MX8" s="20"/>
      <c r="MZ8" s="19">
        <v>0.34</v>
      </c>
      <c r="NA8" s="19">
        <v>0.34</v>
      </c>
      <c r="NC8" s="19">
        <v>0.34</v>
      </c>
      <c r="ND8" s="20">
        <v>0.34</v>
      </c>
      <c r="NJ8" s="20"/>
    </row>
    <row r="9" spans="1:374" x14ac:dyDescent="0.45">
      <c r="A9" s="272"/>
      <c r="B9" s="17" t="s">
        <v>260</v>
      </c>
      <c r="DA9" s="14">
        <v>0.55300000000000005</v>
      </c>
      <c r="DB9" s="14">
        <v>0.55300000000000005</v>
      </c>
      <c r="DC9" s="14">
        <v>0.55300000000000005</v>
      </c>
      <c r="DG9" s="14">
        <v>0.55300000000000005</v>
      </c>
      <c r="DH9" s="14">
        <v>0.55300000000000005</v>
      </c>
      <c r="DI9" s="14">
        <v>0.55300000000000005</v>
      </c>
      <c r="JT9" s="14">
        <v>0.92</v>
      </c>
      <c r="JU9" s="14">
        <v>0.92</v>
      </c>
      <c r="JZ9" s="14">
        <v>0.92</v>
      </c>
      <c r="KA9" s="14">
        <v>0.92</v>
      </c>
      <c r="KF9" s="14">
        <v>0.34989999999999999</v>
      </c>
      <c r="KG9" s="14">
        <v>0.34989999999999999</v>
      </c>
      <c r="MN9" s="14">
        <v>0.35449999999999998</v>
      </c>
      <c r="MO9" s="14">
        <v>0.35449999999999998</v>
      </c>
    </row>
    <row r="10" spans="1:374" x14ac:dyDescent="0.45">
      <c r="A10" s="272"/>
      <c r="B10" s="17" t="s">
        <v>261</v>
      </c>
      <c r="AS10" s="14">
        <v>0.55079999999999996</v>
      </c>
      <c r="AT10" s="14">
        <v>0.55079999999999996</v>
      </c>
      <c r="AU10" s="14">
        <v>0.55079999999999996</v>
      </c>
      <c r="AV10" s="14">
        <v>0.55079999999999996</v>
      </c>
      <c r="AW10" s="14">
        <v>0.55079999999999996</v>
      </c>
      <c r="AX10" s="15">
        <v>0.55079999999999996</v>
      </c>
      <c r="AY10" s="14">
        <v>0.55079999999999996</v>
      </c>
      <c r="AZ10" s="14">
        <v>0.55079999999999996</v>
      </c>
      <c r="BA10" s="14">
        <v>0.55079999999999996</v>
      </c>
      <c r="BB10" s="14">
        <v>0.55079999999999996</v>
      </c>
      <c r="BC10" s="14">
        <v>0.55079999999999996</v>
      </c>
      <c r="BD10" s="15">
        <v>0.55079999999999996</v>
      </c>
      <c r="HE10" s="14">
        <v>0.64700000000000002</v>
      </c>
      <c r="HF10" s="14">
        <v>1.1763999999999999</v>
      </c>
      <c r="HG10" s="14">
        <v>1.1763999999999999</v>
      </c>
      <c r="HH10" s="14">
        <v>0.64700000000000002</v>
      </c>
      <c r="HI10" s="14">
        <v>0.64700000000000002</v>
      </c>
      <c r="HJ10" s="15">
        <v>0.64700000000000002</v>
      </c>
      <c r="MH10" s="14">
        <f>39.98%+52.8%</f>
        <v>0.92779999999999996</v>
      </c>
      <c r="MI10" s="14">
        <v>0.52800000000000002</v>
      </c>
      <c r="MK10" s="14">
        <f>39.98%+52.8%</f>
        <v>0.92779999999999996</v>
      </c>
      <c r="ML10" s="15">
        <v>0.52800000000000002</v>
      </c>
    </row>
    <row r="11" spans="1:374" x14ac:dyDescent="0.45">
      <c r="A11" s="272"/>
      <c r="B11" s="17" t="s">
        <v>262</v>
      </c>
      <c r="AA11" s="14">
        <v>0.5998</v>
      </c>
      <c r="AB11" s="14">
        <v>0.5998</v>
      </c>
      <c r="AC11" s="14">
        <v>0.5998</v>
      </c>
      <c r="AE11" s="14">
        <v>0.5998</v>
      </c>
      <c r="AF11" s="15">
        <v>0.5998</v>
      </c>
      <c r="AG11" s="14">
        <v>0.5998</v>
      </c>
      <c r="AH11" s="14">
        <v>0.5998</v>
      </c>
      <c r="AI11" s="14">
        <v>0.5998</v>
      </c>
      <c r="AK11" s="14">
        <v>0.5998</v>
      </c>
      <c r="AL11" s="15">
        <v>0.5998</v>
      </c>
      <c r="AM11" s="14">
        <v>0.5998</v>
      </c>
      <c r="AN11" s="14">
        <v>0.5998</v>
      </c>
      <c r="AO11" s="14">
        <v>0.5998</v>
      </c>
      <c r="AQ11" s="14">
        <v>0.5998</v>
      </c>
      <c r="AR11" s="15">
        <v>0.5998</v>
      </c>
      <c r="FC11" s="14">
        <v>0.52800000000000002</v>
      </c>
      <c r="FD11" s="14">
        <v>0.52800000000000002</v>
      </c>
      <c r="FE11" s="14">
        <v>0.52800000000000002</v>
      </c>
      <c r="GH11" s="14">
        <v>0.89439999999999997</v>
      </c>
      <c r="GI11" s="14">
        <v>0.89439999999999997</v>
      </c>
      <c r="GM11" s="14">
        <v>0.47520000000000001</v>
      </c>
      <c r="GN11" s="14">
        <v>0.89439999999999997</v>
      </c>
      <c r="GO11" s="14">
        <v>0.89439999999999997</v>
      </c>
      <c r="GP11" s="14">
        <v>0.47520000000000001</v>
      </c>
      <c r="GQ11" s="14">
        <v>0.47520000000000001</v>
      </c>
      <c r="GR11" s="15">
        <v>0.47520000000000001</v>
      </c>
      <c r="IC11" s="14">
        <v>5.0999999999999997E-2</v>
      </c>
      <c r="ID11" s="14">
        <v>5.0999999999999997E-2</v>
      </c>
      <c r="IE11" s="14">
        <v>5.0999999999999997E-2</v>
      </c>
      <c r="IF11" s="14">
        <v>5.0999999999999997E-2</v>
      </c>
      <c r="IG11" s="14">
        <v>5.0999999999999997E-2</v>
      </c>
      <c r="IH11" s="15">
        <v>5.0999999999999997E-2</v>
      </c>
      <c r="LU11" s="14">
        <f>235.03%+68.04%+318.14%*2</f>
        <v>9.3934999999999995</v>
      </c>
      <c r="LV11" s="14">
        <f>235.03%+68.04%+318.14%*2</f>
        <v>9.3934999999999995</v>
      </c>
      <c r="LW11" s="14">
        <f>235.03%+68.04%+318.14%*2</f>
        <v>9.3934999999999995</v>
      </c>
      <c r="LX11" s="14">
        <f>235.03%+68.04%+318.14%*2</f>
        <v>9.3934999999999995</v>
      </c>
      <c r="LY11" s="14">
        <f>235.03%+68.04%+318.14%*2</f>
        <v>9.3934999999999995</v>
      </c>
      <c r="LZ11" s="15">
        <v>9.3934999999999995</v>
      </c>
    </row>
    <row r="12" spans="1:374" x14ac:dyDescent="0.45">
      <c r="A12" s="272"/>
      <c r="B12" s="17" t="s">
        <v>263</v>
      </c>
      <c r="C12" s="14">
        <v>1.006</v>
      </c>
      <c r="D12" s="14">
        <v>1.006</v>
      </c>
      <c r="E12" s="14">
        <v>1.006</v>
      </c>
      <c r="F12" s="14">
        <v>1.006</v>
      </c>
      <c r="G12" s="14">
        <v>1.006</v>
      </c>
      <c r="H12" s="15">
        <v>1.006</v>
      </c>
      <c r="KW12" s="14">
        <v>1.006</v>
      </c>
      <c r="KX12" s="14">
        <v>1.006</v>
      </c>
      <c r="KY12" s="14">
        <v>1.006</v>
      </c>
      <c r="KZ12" s="14">
        <v>1.006</v>
      </c>
      <c r="LA12" s="14">
        <v>1.006</v>
      </c>
      <c r="LB12" s="15">
        <v>1.006</v>
      </c>
      <c r="MN12" s="14">
        <v>0.2</v>
      </c>
      <c r="MO12" s="14">
        <v>0.2</v>
      </c>
      <c r="MQ12" s="14">
        <v>0.2</v>
      </c>
      <c r="MR12" s="15">
        <v>0.2</v>
      </c>
      <c r="MZ12" s="14">
        <v>0.92030000000000001</v>
      </c>
      <c r="NA12" s="14">
        <v>0.92030000000000001</v>
      </c>
      <c r="NC12" s="14">
        <v>0.92030000000000001</v>
      </c>
      <c r="ND12" s="15">
        <v>0.92030000000000001</v>
      </c>
    </row>
    <row r="13" spans="1:374" x14ac:dyDescent="0.45">
      <c r="A13" s="272"/>
      <c r="B13" s="17" t="s">
        <v>264</v>
      </c>
      <c r="C13" s="14">
        <v>1.5072000000000001</v>
      </c>
      <c r="D13" s="14">
        <f>421.2%+150.72%</f>
        <v>5.7191999999999998</v>
      </c>
      <c r="E13" s="14">
        <f>421.2%+150.72%</f>
        <v>5.7191999999999998</v>
      </c>
      <c r="F13" s="14">
        <v>1.5072000000000001</v>
      </c>
      <c r="G13" s="14">
        <v>1.5072000000000001</v>
      </c>
      <c r="H13" s="15">
        <v>1.5072000000000001</v>
      </c>
      <c r="KW13" s="14">
        <v>1.5072000000000001</v>
      </c>
      <c r="KX13" s="14">
        <v>1.5072000000000001</v>
      </c>
      <c r="KY13" s="14">
        <v>1.5072000000000001</v>
      </c>
      <c r="KZ13" s="14">
        <v>1.5072000000000001</v>
      </c>
      <c r="LA13" s="14">
        <v>1.5072000000000001</v>
      </c>
      <c r="LB13" s="15">
        <v>1.5072000000000001</v>
      </c>
    </row>
    <row r="14" spans="1:374" x14ac:dyDescent="0.45">
      <c r="A14" s="272"/>
      <c r="B14" s="17" t="s">
        <v>265</v>
      </c>
    </row>
    <row r="15" spans="1:374" x14ac:dyDescent="0.45">
      <c r="A15" s="272"/>
      <c r="B15" s="17" t="s">
        <v>414</v>
      </c>
      <c r="MT15" s="14">
        <v>1.5840000000000001</v>
      </c>
      <c r="MU15" s="14">
        <v>1.5840000000000001</v>
      </c>
    </row>
    <row r="16" spans="1:374" x14ac:dyDescent="0.45">
      <c r="A16" s="272"/>
      <c r="B16" s="15" t="s">
        <v>267</v>
      </c>
    </row>
    <row r="17" spans="1:374" x14ac:dyDescent="0.45">
      <c r="A17" s="272"/>
      <c r="B17" s="15" t="s">
        <v>268</v>
      </c>
      <c r="AS17" s="14">
        <v>0.72</v>
      </c>
      <c r="AT17" s="14">
        <v>0.72</v>
      </c>
      <c r="AU17" s="14">
        <v>0.72</v>
      </c>
      <c r="AV17" s="14">
        <v>0.72</v>
      </c>
      <c r="AW17" s="14">
        <v>0.72</v>
      </c>
      <c r="AX17" s="15">
        <v>0.72</v>
      </c>
      <c r="AY17" s="14">
        <v>0.72</v>
      </c>
      <c r="AZ17" s="14">
        <v>0.72</v>
      </c>
      <c r="BA17" s="14">
        <v>0.72</v>
      </c>
      <c r="BB17" s="14">
        <v>0.72</v>
      </c>
      <c r="BC17" s="14">
        <v>0.72</v>
      </c>
      <c r="BD17" s="15">
        <v>0.72</v>
      </c>
    </row>
    <row r="18" spans="1:374" x14ac:dyDescent="0.45">
      <c r="A18" s="272"/>
      <c r="B18" s="17" t="s">
        <v>269</v>
      </c>
      <c r="II18" s="14">
        <v>0.49580000000000002</v>
      </c>
      <c r="IJ18" s="14">
        <v>0.49580000000000002</v>
      </c>
      <c r="IK18" s="14">
        <v>0.49580000000000002</v>
      </c>
      <c r="IL18" s="14">
        <v>0.49580000000000002</v>
      </c>
      <c r="IM18" s="14">
        <v>0.49580000000000002</v>
      </c>
      <c r="IN18" s="15">
        <v>0.49580000000000002</v>
      </c>
      <c r="IO18" s="14">
        <v>0.31919999999999998</v>
      </c>
      <c r="IP18" s="14">
        <v>0.31919999999999998</v>
      </c>
      <c r="IQ18" s="14">
        <v>0.31919999999999998</v>
      </c>
      <c r="IR18" s="14">
        <v>0.31919999999999998</v>
      </c>
      <c r="IS18" s="14">
        <v>0.31919999999999998</v>
      </c>
      <c r="IT18" s="15">
        <v>0.31919999999999998</v>
      </c>
    </row>
    <row r="19" spans="1:374" s="19" customFormat="1" x14ac:dyDescent="0.45">
      <c r="A19" s="244" t="s">
        <v>270</v>
      </c>
      <c r="B19" s="21" t="s">
        <v>271</v>
      </c>
      <c r="H19" s="20"/>
      <c r="N19" s="20"/>
      <c r="T19" s="20"/>
      <c r="Z19" s="20"/>
      <c r="AF19" s="20"/>
      <c r="AL19" s="20"/>
      <c r="AR19" s="20"/>
      <c r="AX19" s="20"/>
      <c r="BD19" s="20"/>
      <c r="BJ19" s="20"/>
      <c r="BP19" s="20"/>
      <c r="BV19" s="20"/>
      <c r="BX19" s="19">
        <v>0.39960000000000001</v>
      </c>
      <c r="CB19" s="20"/>
      <c r="CC19" s="19">
        <v>0.12559999999999999</v>
      </c>
      <c r="CD19" s="19">
        <v>0.12559999999999999</v>
      </c>
      <c r="CE19" s="19">
        <v>0.12559999999999999</v>
      </c>
      <c r="CF19" s="19">
        <v>0.12559999999999999</v>
      </c>
      <c r="CG19" s="19">
        <v>0.12559999999999999</v>
      </c>
      <c r="CH19" s="19">
        <v>0.12559999999999999</v>
      </c>
      <c r="CN19" s="20"/>
      <c r="CT19" s="20"/>
      <c r="CZ19" s="20"/>
      <c r="DF19" s="20"/>
      <c r="DL19" s="20"/>
      <c r="DR19" s="20"/>
      <c r="DX19" s="20"/>
      <c r="ED19" s="20"/>
      <c r="EJ19" s="20"/>
      <c r="EL19" s="19">
        <v>0.1804</v>
      </c>
      <c r="EM19" s="19">
        <v>0.1804</v>
      </c>
      <c r="EP19" s="20"/>
      <c r="EV19" s="20"/>
      <c r="FB19" s="20"/>
      <c r="FH19" s="20"/>
      <c r="FN19" s="20"/>
      <c r="FT19" s="20"/>
      <c r="FZ19" s="20"/>
      <c r="GA19" s="19">
        <v>0.1</v>
      </c>
      <c r="GB19" s="19">
        <v>0.1</v>
      </c>
      <c r="GC19" s="19">
        <v>0.1</v>
      </c>
      <c r="GD19" s="19">
        <v>0.1</v>
      </c>
      <c r="GE19" s="19">
        <v>0.1</v>
      </c>
      <c r="GF19" s="20">
        <v>0.1</v>
      </c>
      <c r="GL19" s="20"/>
      <c r="GR19" s="20"/>
      <c r="GX19" s="20"/>
      <c r="HD19" s="20"/>
      <c r="HJ19" s="20"/>
      <c r="HP19" s="20"/>
      <c r="HQ19" s="19">
        <v>0.12559999999999999</v>
      </c>
      <c r="HR19" s="19">
        <v>0.12559999999999999</v>
      </c>
      <c r="HS19" s="19">
        <v>0.12559999999999999</v>
      </c>
      <c r="HT19" s="19">
        <v>0.12559999999999999</v>
      </c>
      <c r="HU19" s="19">
        <v>0.12559999999999999</v>
      </c>
      <c r="HV19" s="20">
        <v>0.12559999999999999</v>
      </c>
      <c r="IB19" s="20"/>
      <c r="IH19" s="20"/>
      <c r="IN19" s="20"/>
      <c r="IT19" s="20"/>
      <c r="IZ19" s="20"/>
      <c r="JA19" s="19">
        <v>0.10199999999999999</v>
      </c>
      <c r="JB19" s="19">
        <v>0.10199999999999999</v>
      </c>
      <c r="JC19" s="19">
        <v>0.10199999999999999</v>
      </c>
      <c r="JD19" s="19">
        <v>0.10199999999999999</v>
      </c>
      <c r="JE19" s="19">
        <v>0.10199999999999999</v>
      </c>
      <c r="JF19" s="20">
        <v>0.10199999999999999</v>
      </c>
      <c r="JG19" s="19">
        <v>0.10199999999999999</v>
      </c>
      <c r="JH19" s="19">
        <v>0.10199999999999999</v>
      </c>
      <c r="JI19" s="19">
        <v>0.10199999999999999</v>
      </c>
      <c r="JJ19" s="19">
        <v>0.10199999999999999</v>
      </c>
      <c r="JK19" s="19">
        <v>0.10199999999999999</v>
      </c>
      <c r="JL19" s="20">
        <v>0.10199999999999999</v>
      </c>
      <c r="JR19" s="20"/>
      <c r="JX19" s="20"/>
      <c r="KD19" s="20"/>
      <c r="KJ19" s="20"/>
      <c r="KP19" s="20"/>
      <c r="KV19" s="20"/>
      <c r="LB19" s="20"/>
      <c r="LH19" s="20"/>
      <c r="LN19" s="20"/>
      <c r="LT19" s="20"/>
      <c r="LV19" s="19">
        <v>0.25090000000000001</v>
      </c>
      <c r="LW19" s="19">
        <v>0.25090000000000001</v>
      </c>
      <c r="LZ19" s="20"/>
      <c r="MA19" s="19">
        <f>12.12%</f>
        <v>0.12119999999999999</v>
      </c>
      <c r="MB19" s="19">
        <f>12.12%+15.12%</f>
        <v>0.27239999999999998</v>
      </c>
      <c r="MC19" s="19">
        <f>12.12%+15.12%</f>
        <v>0.27239999999999998</v>
      </c>
      <c r="MD19" s="19">
        <f>12.12%</f>
        <v>0.12119999999999999</v>
      </c>
      <c r="ME19" s="19">
        <f>12.12%+15.12%</f>
        <v>0.27239999999999998</v>
      </c>
      <c r="MF19" s="20">
        <v>0.27239999999999998</v>
      </c>
      <c r="ML19" s="20"/>
      <c r="MR19" s="20"/>
      <c r="MS19" s="19">
        <v>4.2000000000000003E-2</v>
      </c>
      <c r="MT19" s="19">
        <v>4.2000000000000003E-2</v>
      </c>
      <c r="MU19" s="19">
        <v>4.2000000000000003E-2</v>
      </c>
      <c r="MV19" s="19">
        <v>4.2000000000000003E-2</v>
      </c>
      <c r="MW19" s="19">
        <v>4.2000000000000003E-2</v>
      </c>
      <c r="MX19" s="20">
        <v>4.2000000000000003E-2</v>
      </c>
      <c r="ND19" s="20"/>
      <c r="NJ19" s="20"/>
    </row>
    <row r="20" spans="1:374" s="19" customFormat="1" x14ac:dyDescent="0.45">
      <c r="A20" s="272" t="s">
        <v>272</v>
      </c>
      <c r="B20" s="21" t="s">
        <v>273</v>
      </c>
      <c r="H20" s="20"/>
      <c r="N20" s="20"/>
      <c r="T20" s="20"/>
      <c r="Z20" s="20"/>
      <c r="AF20" s="20"/>
      <c r="AH20" s="19">
        <v>1</v>
      </c>
      <c r="AI20" s="19">
        <v>1</v>
      </c>
      <c r="AL20" s="20"/>
      <c r="AR20" s="20"/>
      <c r="AX20" s="20"/>
      <c r="BD20" s="20"/>
      <c r="BJ20" s="20"/>
      <c r="BP20" s="20"/>
      <c r="BV20" s="20"/>
      <c r="BW20" s="19">
        <v>6.2600000000000003E-2</v>
      </c>
      <c r="BX20" s="19">
        <v>6.2600000000000003E-2</v>
      </c>
      <c r="BZ20" s="19">
        <v>6.2600000000000003E-2</v>
      </c>
      <c r="CA20" s="19">
        <v>6.2600000000000003E-2</v>
      </c>
      <c r="CB20" s="217">
        <v>6.2600000000000003E-2</v>
      </c>
      <c r="CD20" s="19">
        <v>0.14599999999999999</v>
      </c>
      <c r="CE20" s="19">
        <v>0.14599999999999999</v>
      </c>
      <c r="CG20" s="19">
        <v>0.14599999999999999</v>
      </c>
      <c r="CH20" s="20">
        <v>0.14599999999999999</v>
      </c>
      <c r="CN20" s="20"/>
      <c r="CT20" s="20"/>
      <c r="CZ20" s="20"/>
      <c r="DF20" s="20"/>
      <c r="DH20" s="19">
        <v>1</v>
      </c>
      <c r="DI20" s="19">
        <v>1</v>
      </c>
      <c r="DL20" s="20"/>
      <c r="DN20" s="19">
        <v>0.19570000000000001</v>
      </c>
      <c r="DO20" s="19">
        <v>0.19570000000000001</v>
      </c>
      <c r="DR20" s="20"/>
      <c r="DX20" s="20"/>
      <c r="ED20" s="20"/>
      <c r="EJ20" s="20"/>
      <c r="EP20" s="20"/>
      <c r="EV20" s="20"/>
      <c r="FB20" s="20"/>
      <c r="FH20" s="20"/>
      <c r="FI20" s="19">
        <v>0.13020000000000001</v>
      </c>
      <c r="FJ20" s="19">
        <v>0.13020000000000001</v>
      </c>
      <c r="FK20" s="19">
        <v>0.13020000000000001</v>
      </c>
      <c r="FL20" s="19">
        <v>0.13020000000000001</v>
      </c>
      <c r="FM20" s="19">
        <v>0.13020000000000001</v>
      </c>
      <c r="FN20" s="20">
        <v>0.13020000000000001</v>
      </c>
      <c r="FT20" s="20"/>
      <c r="FZ20" s="20"/>
      <c r="GA20" s="19">
        <v>0.6</v>
      </c>
      <c r="GB20" s="19">
        <v>0.6</v>
      </c>
      <c r="GC20" s="19">
        <v>0.6</v>
      </c>
      <c r="GD20" s="19">
        <v>0.6</v>
      </c>
      <c r="GE20" s="19">
        <v>0.6</v>
      </c>
      <c r="GF20" s="20">
        <v>0.6</v>
      </c>
      <c r="GL20" s="20"/>
      <c r="GR20" s="20"/>
      <c r="GT20" s="19">
        <v>1.1152</v>
      </c>
      <c r="GU20" s="19">
        <v>0.26100000000000001</v>
      </c>
      <c r="GW20" s="19">
        <v>0.26100000000000001</v>
      </c>
      <c r="GX20" s="20">
        <v>0.26100000000000001</v>
      </c>
      <c r="HD20" s="20"/>
      <c r="HJ20" s="20"/>
      <c r="HP20" s="20"/>
      <c r="HR20" s="19">
        <v>0.14599999999999999</v>
      </c>
      <c r="HS20" s="19">
        <v>0.14599999999999999</v>
      </c>
      <c r="HU20" s="19">
        <v>0.14599999999999999</v>
      </c>
      <c r="HV20" s="20">
        <v>0.14599999999999999</v>
      </c>
      <c r="IB20" s="20"/>
      <c r="IH20" s="20"/>
      <c r="II20" s="19">
        <v>0.1673</v>
      </c>
      <c r="IJ20" s="19">
        <v>0.1673</v>
      </c>
      <c r="IK20" s="19">
        <v>0.1673</v>
      </c>
      <c r="IL20" s="19">
        <v>0.1673</v>
      </c>
      <c r="IM20" s="19">
        <v>0.1673</v>
      </c>
      <c r="IN20" s="20">
        <v>0.1673</v>
      </c>
      <c r="IT20" s="20"/>
      <c r="IZ20" s="20"/>
      <c r="JF20" s="20"/>
      <c r="JL20" s="20"/>
      <c r="JR20" s="20"/>
      <c r="JX20" s="20"/>
      <c r="JZ20" s="19">
        <v>1</v>
      </c>
      <c r="KA20" s="19">
        <v>1</v>
      </c>
      <c r="KD20" s="20"/>
      <c r="KJ20" s="20"/>
      <c r="KK20" s="19">
        <v>9.2799999999999994E-2</v>
      </c>
      <c r="KL20" s="19">
        <v>9.2799999999999994E-2</v>
      </c>
      <c r="KM20" s="19">
        <v>9.2799999999999994E-2</v>
      </c>
      <c r="KN20" s="19">
        <v>9.2799999999999994E-2</v>
      </c>
      <c r="KO20" s="19">
        <v>9.2799999999999994E-2</v>
      </c>
      <c r="KP20" s="20">
        <v>9.2799999999999994E-2</v>
      </c>
      <c r="KR20" s="19">
        <f>0.75%*30</f>
        <v>0.22499999999999998</v>
      </c>
      <c r="KS20" s="19">
        <f>0.75%*30</f>
        <v>0.22499999999999998</v>
      </c>
      <c r="KU20" s="19">
        <f>0.75%*45</f>
        <v>0.33749999999999997</v>
      </c>
      <c r="KV20" s="20">
        <f>0.75%*95</f>
        <v>0.71250000000000002</v>
      </c>
      <c r="LB20" s="20"/>
      <c r="LH20" s="217"/>
      <c r="LN20" s="20"/>
      <c r="LT20" s="20"/>
      <c r="LZ20" s="20"/>
      <c r="MF20" s="20"/>
      <c r="MH20" s="19">
        <v>0.85189999999999999</v>
      </c>
      <c r="MI20" s="19">
        <v>0.85189999999999999</v>
      </c>
      <c r="MK20" s="19">
        <v>0.85189999999999999</v>
      </c>
      <c r="ML20" s="20">
        <v>0.85189999999999999</v>
      </c>
      <c r="MR20" s="20"/>
      <c r="MX20" s="20"/>
      <c r="ND20" s="20"/>
      <c r="NJ20" s="20"/>
    </row>
    <row r="21" spans="1:374" x14ac:dyDescent="0.45">
      <c r="A21" s="272"/>
      <c r="B21" s="17" t="s">
        <v>274</v>
      </c>
      <c r="BE21" s="14">
        <v>0.1464</v>
      </c>
      <c r="BF21" s="14">
        <v>0.1464</v>
      </c>
      <c r="BG21" s="14">
        <v>0.1464</v>
      </c>
      <c r="BH21" s="14">
        <v>0.1464</v>
      </c>
      <c r="BI21" s="14">
        <v>0.1464</v>
      </c>
      <c r="BJ21" s="15">
        <v>0.1464</v>
      </c>
      <c r="CB21" s="218"/>
      <c r="FI21" s="14">
        <v>0.18079999999999999</v>
      </c>
      <c r="FJ21" s="14">
        <v>0.18079999999999999</v>
      </c>
      <c r="FK21" s="14">
        <v>0.18079999999999999</v>
      </c>
      <c r="FL21" s="14">
        <v>0.18079999999999999</v>
      </c>
      <c r="FM21" s="14">
        <v>0.18079999999999999</v>
      </c>
      <c r="FN21" s="15">
        <v>0.18079999999999999</v>
      </c>
      <c r="LH21" s="218"/>
    </row>
    <row r="22" spans="1:374" x14ac:dyDescent="0.45">
      <c r="A22" s="272"/>
      <c r="B22" s="17" t="s">
        <v>275</v>
      </c>
      <c r="BW22" s="14">
        <v>0.18029999999999999</v>
      </c>
      <c r="BX22" s="14">
        <v>0.18029999999999999</v>
      </c>
      <c r="BZ22" s="14">
        <v>0.18029999999999999</v>
      </c>
      <c r="CA22" s="14">
        <v>0.18029999999999999</v>
      </c>
      <c r="CB22" s="218">
        <v>0.18029999999999999</v>
      </c>
      <c r="DM22" s="14">
        <v>6.6100000000000006E-2</v>
      </c>
      <c r="DN22" s="14">
        <v>6.6100000000000006E-2</v>
      </c>
      <c r="DO22" s="14">
        <v>6.6100000000000006E-2</v>
      </c>
      <c r="DP22" s="14">
        <v>6.6100000000000006E-2</v>
      </c>
      <c r="DQ22" s="14">
        <v>6.6100000000000006E-2</v>
      </c>
      <c r="DR22" s="15">
        <v>6.6100000000000006E-2</v>
      </c>
      <c r="DS22" s="14">
        <f>14.25%*5</f>
        <v>0.71249999999999991</v>
      </c>
      <c r="DT22" s="14">
        <f>14.25%*5</f>
        <v>0.71249999999999991</v>
      </c>
      <c r="DU22" s="14">
        <f>14.25%*5</f>
        <v>0.71249999999999991</v>
      </c>
      <c r="DV22" s="14">
        <f>14.25%*5</f>
        <v>0.71249999999999991</v>
      </c>
      <c r="DW22" s="14">
        <f>14.25%*5</f>
        <v>0.71249999999999991</v>
      </c>
      <c r="DX22" s="15">
        <v>0.71249999999999991</v>
      </c>
      <c r="EQ22" s="14">
        <v>0.88170000000000004</v>
      </c>
      <c r="ER22" s="14">
        <v>0.88170000000000004</v>
      </c>
      <c r="ES22" s="14">
        <v>0.88170000000000004</v>
      </c>
      <c r="EW22" s="14">
        <v>0.88170000000000004</v>
      </c>
      <c r="EX22" s="14">
        <v>0.88170000000000004</v>
      </c>
      <c r="EY22" s="14">
        <v>0.88170000000000004</v>
      </c>
      <c r="FI22" s="14">
        <f>24.79%*5</f>
        <v>1.2394999999999998</v>
      </c>
      <c r="FJ22" s="14">
        <f>24.79%*5</f>
        <v>1.2394999999999998</v>
      </c>
      <c r="FK22" s="14">
        <f>24.79%*5</f>
        <v>1.2394999999999998</v>
      </c>
      <c r="FL22" s="14">
        <f>24.79%*5</f>
        <v>1.2394999999999998</v>
      </c>
      <c r="FM22" s="14">
        <f>24.79%*5</f>
        <v>1.2394999999999998</v>
      </c>
      <c r="FN22" s="15">
        <v>1.2394999999999998</v>
      </c>
      <c r="JN22" s="14">
        <f>1.32%*50</f>
        <v>0.66</v>
      </c>
      <c r="JO22" s="14">
        <f>1.32%*50</f>
        <v>0.66</v>
      </c>
      <c r="JQ22" s="14">
        <f>1.32%*50</f>
        <v>0.66</v>
      </c>
      <c r="JR22" s="15">
        <v>0.66</v>
      </c>
      <c r="KK22" s="14">
        <v>0.1469</v>
      </c>
      <c r="KL22" s="14">
        <v>0.1469</v>
      </c>
      <c r="KM22" s="14">
        <v>0.1469</v>
      </c>
      <c r="KN22" s="14">
        <v>0.1469</v>
      </c>
      <c r="KO22" s="14">
        <v>0.1469</v>
      </c>
      <c r="KP22" s="15">
        <v>0.1469</v>
      </c>
      <c r="LH22" s="218"/>
      <c r="LU22" s="14">
        <v>0.20280000000000001</v>
      </c>
      <c r="LV22" s="14">
        <v>0.20280000000000001</v>
      </c>
      <c r="LW22" s="14">
        <v>0.20280000000000001</v>
      </c>
      <c r="LX22" s="14">
        <v>0.20280000000000001</v>
      </c>
      <c r="LY22" s="14">
        <v>0.20280000000000001</v>
      </c>
      <c r="LZ22" s="15">
        <v>0.20280000000000001</v>
      </c>
      <c r="MA22" s="14">
        <v>0.20280000000000001</v>
      </c>
      <c r="MB22" s="14">
        <v>0.20280000000000001</v>
      </c>
      <c r="MC22" s="14">
        <v>0.20280000000000001</v>
      </c>
      <c r="MD22" s="14">
        <v>0.20280000000000001</v>
      </c>
      <c r="ME22" s="14">
        <v>0.20280000000000001</v>
      </c>
      <c r="MF22" s="15">
        <v>0.20280000000000001</v>
      </c>
    </row>
    <row r="23" spans="1:374" x14ac:dyDescent="0.45">
      <c r="A23" s="272"/>
      <c r="B23" s="17" t="s">
        <v>276</v>
      </c>
      <c r="CB23" s="218"/>
      <c r="LH23" s="218"/>
    </row>
    <row r="24" spans="1:374" s="19" customFormat="1" x14ac:dyDescent="0.45">
      <c r="A24" s="280" t="s">
        <v>372</v>
      </c>
      <c r="B24" s="21" t="s">
        <v>278</v>
      </c>
      <c r="H24" s="20"/>
      <c r="N24" s="20"/>
      <c r="T24" s="20"/>
      <c r="Z24" s="20"/>
      <c r="AF24" s="20"/>
      <c r="AL24" s="20"/>
      <c r="AR24" s="20"/>
      <c r="AX24" s="20"/>
      <c r="BD24" s="20"/>
      <c r="BJ24" s="20"/>
      <c r="BP24" s="20"/>
      <c r="BV24" s="20"/>
      <c r="CB24" s="20"/>
      <c r="CH24" s="20"/>
      <c r="CN24" s="20"/>
      <c r="CT24" s="20"/>
      <c r="CZ24" s="20"/>
      <c r="DF24" s="20"/>
      <c r="DL24" s="20"/>
      <c r="DR24" s="20"/>
      <c r="DX24" s="20"/>
      <c r="ED24" s="20"/>
      <c r="EJ24" s="20"/>
      <c r="EP24" s="20"/>
      <c r="EV24" s="20"/>
      <c r="FB24" s="20"/>
      <c r="FH24" s="20"/>
      <c r="FN24" s="20"/>
      <c r="FT24" s="20"/>
      <c r="FZ24" s="20"/>
      <c r="GF24" s="20"/>
      <c r="GL24" s="20"/>
      <c r="GR24" s="20"/>
      <c r="GX24" s="20"/>
      <c r="HD24" s="20"/>
      <c r="HJ24" s="20"/>
      <c r="HP24" s="20"/>
      <c r="HV24" s="20"/>
      <c r="IB24" s="20"/>
      <c r="IH24" s="20"/>
      <c r="II24" s="19">
        <v>0.75249999999999995</v>
      </c>
      <c r="IJ24" s="19">
        <v>0.75249999999999995</v>
      </c>
      <c r="IK24" s="19">
        <v>0.75249999999999995</v>
      </c>
      <c r="IL24" s="19">
        <v>0.75249999999999995</v>
      </c>
      <c r="IM24" s="19">
        <v>0.75249999999999995</v>
      </c>
      <c r="IN24" s="20">
        <v>0.75249999999999995</v>
      </c>
      <c r="IT24" s="20"/>
      <c r="IZ24" s="20"/>
      <c r="JF24" s="20"/>
      <c r="JL24" s="20"/>
      <c r="JR24" s="20"/>
      <c r="JX24" s="20"/>
      <c r="KD24" s="20"/>
      <c r="KJ24" s="20"/>
      <c r="KP24" s="20"/>
      <c r="KV24" s="20"/>
      <c r="LB24" s="20"/>
      <c r="LC24" s="19">
        <f>25.15%+21.05%</f>
        <v>0.46200000000000002</v>
      </c>
      <c r="LD24" s="19">
        <f>25.15%+21.05%</f>
        <v>0.46200000000000002</v>
      </c>
      <c r="LE24" s="19">
        <f>25.15%+21.05%</f>
        <v>0.46200000000000002</v>
      </c>
      <c r="LF24" s="19">
        <f>25.15%+21.05%</f>
        <v>0.46200000000000002</v>
      </c>
      <c r="LG24" s="19">
        <f>25.15%+21.05%</f>
        <v>0.46200000000000002</v>
      </c>
      <c r="LH24" s="20">
        <v>0.46200000000000002</v>
      </c>
      <c r="LN24" s="20"/>
      <c r="LT24" s="20"/>
      <c r="LZ24" s="20"/>
      <c r="MF24" s="20"/>
      <c r="ML24" s="20"/>
      <c r="MR24" s="20"/>
      <c r="MX24" s="20"/>
      <c r="ND24" s="20"/>
      <c r="NJ24" s="20"/>
    </row>
    <row r="25" spans="1:374" x14ac:dyDescent="0.45">
      <c r="A25" s="272"/>
      <c r="B25" s="17" t="s">
        <v>279</v>
      </c>
    </row>
    <row r="26" spans="1:374" s="19" customFormat="1" x14ac:dyDescent="0.45">
      <c r="A26" s="272" t="s">
        <v>280</v>
      </c>
      <c r="B26" s="21" t="s">
        <v>281</v>
      </c>
      <c r="H26" s="20"/>
      <c r="J26" s="19">
        <v>1.5012000000000001</v>
      </c>
      <c r="K26" s="19">
        <v>1.5012000000000001</v>
      </c>
      <c r="N26" s="20"/>
      <c r="P26" s="19">
        <v>1.5012000000000001</v>
      </c>
      <c r="Q26" s="19">
        <v>1.5012000000000001</v>
      </c>
      <c r="T26" s="20"/>
      <c r="Z26" s="20"/>
      <c r="AF26" s="20"/>
      <c r="AL26" s="20"/>
      <c r="AR26" s="20"/>
      <c r="AX26" s="20"/>
      <c r="BD26" s="20"/>
      <c r="BF26" s="19">
        <f>250%*158.4%</f>
        <v>3.96</v>
      </c>
      <c r="BG26" s="19">
        <f>250%*158.4%</f>
        <v>3.96</v>
      </c>
      <c r="BJ26" s="20"/>
      <c r="BK26" s="19">
        <f>IF(버프정리!D28+버프정리!D29&gt;1,(버프정리!D28+버프정리!D29-1)*2.4,0)</f>
        <v>0</v>
      </c>
      <c r="BL26" s="19">
        <f>IF(버프정리!J28+버프정리!J29&gt;1,(버프정리!J28+버프정리!J29-1)*2.4,0)</f>
        <v>0</v>
      </c>
      <c r="BM26" s="19">
        <f>IF(버프정리!P28+버프정리!P29&gt;1,(버프정리!P28+버프정리!P29-1)*2.4,0)</f>
        <v>0</v>
      </c>
      <c r="BN26" s="19">
        <f>IF(버프정리!V28+버프정리!V29&gt;1,(버프정리!V28+버프정리!V29-1)*2.4,0)</f>
        <v>0</v>
      </c>
      <c r="BO26" s="19">
        <f>IF(버프정리!AB28+버프정리!AB29&gt;1,(버프정리!AB28+버프정리!AB29-1)*2.4,0)</f>
        <v>0</v>
      </c>
      <c r="BP26" s="20">
        <f>IF(버프정리!AH28+버프정리!AH29&gt;1,(버프정리!AH28+버프정리!AH29-1)*2.4,0)</f>
        <v>0</v>
      </c>
      <c r="BR26" s="19">
        <v>7.0000000000000007E-2</v>
      </c>
      <c r="BS26" s="19">
        <v>7.0000000000000007E-2</v>
      </c>
      <c r="BU26" s="19">
        <v>7.0000000000000007E-2</v>
      </c>
      <c r="BV26" s="20">
        <v>7.0000000000000007E-2</v>
      </c>
      <c r="CB26" s="20"/>
      <c r="CH26" s="20"/>
      <c r="CN26" s="20"/>
      <c r="CT26" s="20"/>
      <c r="CZ26" s="20"/>
      <c r="DA26" s="19">
        <v>2.2067999999999999</v>
      </c>
      <c r="DB26" s="19">
        <v>2.2067999999999999</v>
      </c>
      <c r="DC26" s="19">
        <v>2.2067999999999999</v>
      </c>
      <c r="DD26" s="19">
        <v>0.8</v>
      </c>
      <c r="DE26" s="19">
        <v>0.8</v>
      </c>
      <c r="DF26" s="20">
        <v>0.8</v>
      </c>
      <c r="DG26" s="19">
        <v>2.2067999999999999</v>
      </c>
      <c r="DH26" s="19">
        <v>2.2067999999999999</v>
      </c>
      <c r="DI26" s="19">
        <v>2.2067999999999999</v>
      </c>
      <c r="DJ26" s="19">
        <v>0.8</v>
      </c>
      <c r="DK26" s="19">
        <v>0.8</v>
      </c>
      <c r="DL26" s="20">
        <v>0.8</v>
      </c>
      <c r="DR26" s="20"/>
      <c r="DX26" s="20"/>
      <c r="ED26" s="20"/>
      <c r="EJ26" s="20"/>
      <c r="EP26" s="20"/>
      <c r="EV26" s="20"/>
      <c r="FB26" s="20"/>
      <c r="FH26" s="20"/>
      <c r="FN26" s="20"/>
      <c r="FT26" s="20"/>
      <c r="FZ26" s="20"/>
      <c r="GF26" s="20"/>
      <c r="GL26" s="20"/>
      <c r="GR26" s="20"/>
      <c r="GX26" s="20"/>
      <c r="HD26" s="20"/>
      <c r="HJ26" s="20"/>
      <c r="HP26" s="20"/>
      <c r="HV26" s="20"/>
      <c r="IB26" s="20"/>
      <c r="IH26" s="20"/>
      <c r="IN26" s="20"/>
      <c r="IT26" s="20"/>
      <c r="IZ26" s="20"/>
      <c r="JF26" s="20"/>
      <c r="JL26" s="20"/>
      <c r="JR26" s="20"/>
      <c r="JX26" s="20"/>
      <c r="KD26" s="20"/>
      <c r="KJ26" s="20"/>
      <c r="KP26" s="20"/>
      <c r="KV26" s="20"/>
      <c r="LB26" s="20"/>
      <c r="LH26" s="20"/>
      <c r="LN26" s="20"/>
      <c r="LT26" s="20"/>
      <c r="LZ26" s="20"/>
      <c r="MF26" s="20"/>
      <c r="ML26" s="20"/>
      <c r="MM26" s="19">
        <v>0.58499999999999996</v>
      </c>
      <c r="MN26" s="19">
        <v>0.58499999999999996</v>
      </c>
      <c r="MO26" s="19">
        <v>0.58499999999999996</v>
      </c>
      <c r="MP26" s="19">
        <v>0.58499999999999996</v>
      </c>
      <c r="MQ26" s="19">
        <v>0.58499999999999996</v>
      </c>
      <c r="MR26" s="20">
        <v>0.58499999999999996</v>
      </c>
      <c r="MT26" s="19">
        <v>5.28</v>
      </c>
      <c r="MU26" s="19">
        <v>5.28</v>
      </c>
      <c r="MX26" s="20"/>
      <c r="ND26" s="20"/>
      <c r="NJ26" s="20"/>
    </row>
    <row r="27" spans="1:374" s="123" customFormat="1" x14ac:dyDescent="0.45">
      <c r="A27" s="272"/>
      <c r="B27" s="17" t="s">
        <v>282</v>
      </c>
      <c r="C27" s="122"/>
      <c r="D27" s="122"/>
      <c r="E27" s="122"/>
      <c r="F27" s="122"/>
      <c r="G27" s="122"/>
      <c r="H27" s="121"/>
      <c r="I27" s="122"/>
      <c r="J27" s="122">
        <f>11.67%*1.5</f>
        <v>0.17504999999999998</v>
      </c>
      <c r="K27" s="122">
        <f>11.67%*1.5</f>
        <v>0.17504999999999998</v>
      </c>
      <c r="L27" s="122"/>
      <c r="M27" s="122">
        <f>11.67%*1.5</f>
        <v>0.17504999999999998</v>
      </c>
      <c r="N27" s="121">
        <f>11.67%*1.5</f>
        <v>0.17504999999999998</v>
      </c>
      <c r="O27" s="122"/>
      <c r="P27" s="122"/>
      <c r="Q27" s="122"/>
      <c r="R27" s="122"/>
      <c r="S27" s="122"/>
      <c r="T27" s="121"/>
      <c r="U27" s="122"/>
      <c r="V27" s="122"/>
      <c r="W27" s="122"/>
      <c r="X27" s="122"/>
      <c r="Y27" s="122"/>
      <c r="Z27" s="121"/>
      <c r="AA27" s="122"/>
      <c r="AB27" s="122"/>
      <c r="AC27" s="122"/>
      <c r="AD27" s="122"/>
      <c r="AE27" s="122"/>
      <c r="AF27" s="121"/>
      <c r="AG27" s="122"/>
      <c r="AH27" s="122"/>
      <c r="AI27" s="122"/>
      <c r="AJ27" s="122"/>
      <c r="AK27" s="122"/>
      <c r="AL27" s="121"/>
      <c r="AM27" s="122"/>
      <c r="AN27" s="122"/>
      <c r="AO27" s="122"/>
      <c r="AP27" s="122"/>
      <c r="AQ27" s="122"/>
      <c r="AR27" s="121"/>
      <c r="AS27" s="122"/>
      <c r="AT27" s="122"/>
      <c r="AU27" s="122"/>
      <c r="AV27" s="122"/>
      <c r="AW27" s="122"/>
      <c r="AX27" s="121"/>
      <c r="AY27" s="122"/>
      <c r="AZ27" s="122"/>
      <c r="BA27" s="122"/>
      <c r="BB27" s="122"/>
      <c r="BC27" s="122"/>
      <c r="BD27" s="121"/>
      <c r="BE27" s="122"/>
      <c r="BF27" s="122"/>
      <c r="BG27" s="122"/>
      <c r="BH27" s="122"/>
      <c r="BI27" s="122"/>
      <c r="BJ27" s="121"/>
      <c r="BK27" s="122"/>
      <c r="BL27" s="122"/>
      <c r="BM27" s="122"/>
      <c r="BN27" s="122"/>
      <c r="BO27" s="122"/>
      <c r="BP27" s="121"/>
      <c r="BQ27" s="122"/>
      <c r="BR27" s="122">
        <f>11.67%*1.5</f>
        <v>0.17504999999999998</v>
      </c>
      <c r="BS27" s="122">
        <f>11.67%*1.5</f>
        <v>0.17504999999999998</v>
      </c>
      <c r="BT27" s="122"/>
      <c r="BU27" s="122">
        <f>11.67%*1.5</f>
        <v>0.17504999999999998</v>
      </c>
      <c r="BV27" s="121">
        <v>0.17504999999999998</v>
      </c>
      <c r="BW27" s="122"/>
      <c r="BX27" s="122"/>
      <c r="BY27" s="122"/>
      <c r="BZ27" s="122"/>
      <c r="CA27" s="122"/>
      <c r="CB27" s="121"/>
      <c r="CC27" s="122"/>
      <c r="CD27" s="122"/>
      <c r="CE27" s="122"/>
      <c r="CF27" s="122"/>
      <c r="CG27" s="122"/>
      <c r="CH27" s="121"/>
      <c r="CI27" s="122"/>
      <c r="CJ27" s="122"/>
      <c r="CK27" s="122"/>
      <c r="CL27" s="122"/>
      <c r="CM27" s="122"/>
      <c r="CN27" s="121"/>
      <c r="CO27" s="122"/>
      <c r="CP27" s="122"/>
      <c r="CQ27" s="122"/>
      <c r="CR27" s="122"/>
      <c r="CS27" s="122"/>
      <c r="CT27" s="121"/>
      <c r="CU27" s="122"/>
      <c r="CV27" s="122"/>
      <c r="CW27" s="122"/>
      <c r="CX27" s="122"/>
      <c r="CY27" s="122"/>
      <c r="CZ27" s="121"/>
      <c r="DA27" s="122"/>
      <c r="DB27" s="122"/>
      <c r="DC27" s="122"/>
      <c r="DD27" s="122"/>
      <c r="DE27" s="122"/>
      <c r="DF27" s="121"/>
      <c r="DG27" s="122"/>
      <c r="DH27" s="122"/>
      <c r="DI27" s="122"/>
      <c r="DJ27" s="122"/>
      <c r="DK27" s="122"/>
      <c r="DL27" s="121"/>
      <c r="DM27" s="122"/>
      <c r="DN27" s="122"/>
      <c r="DO27" s="122"/>
      <c r="DP27" s="122"/>
      <c r="DQ27" s="122"/>
      <c r="DR27" s="121"/>
      <c r="DS27" s="122"/>
      <c r="DT27" s="122"/>
      <c r="DU27" s="122"/>
      <c r="DV27" s="122"/>
      <c r="DW27" s="122"/>
      <c r="DX27" s="121"/>
      <c r="DY27" s="122"/>
      <c r="DZ27" s="122"/>
      <c r="EA27" s="122"/>
      <c r="EB27" s="122"/>
      <c r="EC27" s="122"/>
      <c r="ED27" s="121"/>
      <c r="EE27" s="122"/>
      <c r="EF27" s="122"/>
      <c r="EG27" s="122"/>
      <c r="EH27" s="122"/>
      <c r="EI27" s="122"/>
      <c r="EJ27" s="121"/>
      <c r="EK27" s="14"/>
      <c r="EL27" s="14"/>
      <c r="EM27" s="14"/>
      <c r="EN27" s="14"/>
      <c r="EO27" s="14"/>
      <c r="EP27" s="15"/>
      <c r="EQ27" s="122"/>
      <c r="ER27" s="122"/>
      <c r="ES27" s="122"/>
      <c r="ET27" s="122"/>
      <c r="EU27" s="122"/>
      <c r="EV27" s="121"/>
      <c r="EW27" s="122"/>
      <c r="EX27" s="122"/>
      <c r="EY27" s="122"/>
      <c r="EZ27" s="122"/>
      <c r="FA27" s="122"/>
      <c r="FB27" s="121"/>
      <c r="FC27" s="122"/>
      <c r="FD27" s="122"/>
      <c r="FE27" s="122"/>
      <c r="FF27" s="122"/>
      <c r="FG27" s="122"/>
      <c r="FH27" s="121"/>
      <c r="FI27" s="122"/>
      <c r="FJ27" s="122"/>
      <c r="FK27" s="122"/>
      <c r="FL27" s="122"/>
      <c r="FM27" s="122"/>
      <c r="FN27" s="121"/>
      <c r="FO27" s="122"/>
      <c r="FP27" s="122"/>
      <c r="FQ27" s="122"/>
      <c r="FR27" s="122"/>
      <c r="FS27" s="122"/>
      <c r="FT27" s="121"/>
      <c r="FU27" s="122"/>
      <c r="FV27" s="122"/>
      <c r="FW27" s="122"/>
      <c r="FX27" s="122"/>
      <c r="FY27" s="122"/>
      <c r="FZ27" s="121"/>
      <c r="GA27" s="122"/>
      <c r="GB27" s="122"/>
      <c r="GC27" s="122"/>
      <c r="GD27" s="122"/>
      <c r="GE27" s="122"/>
      <c r="GF27" s="121"/>
      <c r="GG27" s="122"/>
      <c r="GH27" s="122"/>
      <c r="GI27" s="122"/>
      <c r="GJ27" s="122"/>
      <c r="GK27" s="122"/>
      <c r="GL27" s="121"/>
      <c r="GM27" s="122"/>
      <c r="GN27" s="122"/>
      <c r="GO27" s="122"/>
      <c r="GP27" s="122"/>
      <c r="GQ27" s="122"/>
      <c r="GR27" s="121"/>
      <c r="GS27" s="122"/>
      <c r="GT27" s="122"/>
      <c r="GU27" s="122"/>
      <c r="GV27" s="122"/>
      <c r="GW27" s="122"/>
      <c r="GX27" s="121"/>
      <c r="GY27" s="122"/>
      <c r="GZ27" s="122"/>
      <c r="HA27" s="122"/>
      <c r="HB27" s="122"/>
      <c r="HC27" s="122"/>
      <c r="HD27" s="121"/>
      <c r="HE27" s="122"/>
      <c r="HF27" s="122"/>
      <c r="HG27" s="122"/>
      <c r="HH27" s="122"/>
      <c r="HI27" s="122"/>
      <c r="HJ27" s="121"/>
      <c r="HK27" s="122"/>
      <c r="HL27" s="122"/>
      <c r="HM27" s="122"/>
      <c r="HN27" s="122"/>
      <c r="HO27" s="122"/>
      <c r="HP27" s="121"/>
      <c r="HQ27" s="122"/>
      <c r="HR27" s="122"/>
      <c r="HS27" s="122"/>
      <c r="HT27" s="122"/>
      <c r="HU27" s="122"/>
      <c r="HV27" s="121"/>
      <c r="HW27" s="122"/>
      <c r="HX27" s="122"/>
      <c r="HY27" s="122"/>
      <c r="HZ27" s="122"/>
      <c r="IA27" s="122"/>
      <c r="IB27" s="121"/>
      <c r="IC27" s="122"/>
      <c r="ID27" s="122"/>
      <c r="IE27" s="122"/>
      <c r="IF27" s="122"/>
      <c r="IG27" s="122"/>
      <c r="IH27" s="121"/>
      <c r="II27" s="122"/>
      <c r="IJ27" s="122"/>
      <c r="IK27" s="122"/>
      <c r="IL27" s="122"/>
      <c r="IM27" s="122"/>
      <c r="IN27" s="121"/>
      <c r="IO27" s="122"/>
      <c r="IP27" s="122"/>
      <c r="IQ27" s="122"/>
      <c r="IR27" s="122"/>
      <c r="IS27" s="122"/>
      <c r="IT27" s="121"/>
      <c r="IU27" s="122"/>
      <c r="IV27" s="122"/>
      <c r="IW27" s="122"/>
      <c r="IX27" s="122"/>
      <c r="IY27" s="122"/>
      <c r="IZ27" s="121"/>
      <c r="JA27" s="122"/>
      <c r="JB27" s="122"/>
      <c r="JC27" s="122"/>
      <c r="JD27" s="122"/>
      <c r="JE27" s="122"/>
      <c r="JF27" s="121"/>
      <c r="JG27" s="122"/>
      <c r="JH27" s="122"/>
      <c r="JI27" s="122"/>
      <c r="JJ27" s="122"/>
      <c r="JK27" s="122"/>
      <c r="JL27" s="121"/>
      <c r="JM27" s="122"/>
      <c r="JN27" s="122"/>
      <c r="JO27" s="122"/>
      <c r="JP27" s="122"/>
      <c r="JQ27" s="122"/>
      <c r="JR27" s="121"/>
      <c r="JS27" s="122"/>
      <c r="JT27" s="122"/>
      <c r="JU27" s="122"/>
      <c r="JV27" s="122"/>
      <c r="JW27" s="122"/>
      <c r="JX27" s="121"/>
      <c r="JY27" s="122"/>
      <c r="JZ27" s="122"/>
      <c r="KA27" s="122"/>
      <c r="KB27" s="122"/>
      <c r="KC27" s="122"/>
      <c r="KD27" s="121"/>
      <c r="KE27" s="122"/>
      <c r="KF27" s="122"/>
      <c r="KG27" s="122"/>
      <c r="KH27" s="122"/>
      <c r="KI27" s="122"/>
      <c r="KJ27" s="121"/>
      <c r="KK27" s="122"/>
      <c r="KL27" s="122"/>
      <c r="KM27" s="122"/>
      <c r="KN27" s="122"/>
      <c r="KO27" s="122"/>
      <c r="KP27" s="121"/>
      <c r="KQ27" s="122"/>
      <c r="KR27" s="122"/>
      <c r="KS27" s="122"/>
      <c r="KT27" s="122"/>
      <c r="KU27" s="122"/>
      <c r="KV27" s="121"/>
      <c r="KW27" s="122"/>
      <c r="KX27" s="122"/>
      <c r="KY27" s="122"/>
      <c r="KZ27" s="122"/>
      <c r="LA27" s="122"/>
      <c r="LB27" s="121"/>
      <c r="LC27" s="122"/>
      <c r="LD27" s="122"/>
      <c r="LE27" s="122"/>
      <c r="LF27" s="122"/>
      <c r="LG27" s="122"/>
      <c r="LH27" s="121"/>
      <c r="LI27" s="14"/>
      <c r="LJ27" s="14"/>
      <c r="LK27" s="14"/>
      <c r="LL27" s="14"/>
      <c r="LM27" s="14"/>
      <c r="LN27" s="15"/>
      <c r="LO27" s="122"/>
      <c r="LP27" s="122"/>
      <c r="LQ27" s="122"/>
      <c r="LR27" s="122"/>
      <c r="LS27" s="122"/>
      <c r="LT27" s="121"/>
      <c r="LU27" s="122"/>
      <c r="LV27" s="122"/>
      <c r="LW27" s="122"/>
      <c r="LX27" s="122"/>
      <c r="LY27" s="122"/>
      <c r="LZ27" s="121"/>
      <c r="MA27" s="122"/>
      <c r="MB27" s="122"/>
      <c r="MC27" s="122"/>
      <c r="MD27" s="122"/>
      <c r="ME27" s="122"/>
      <c r="MF27" s="121"/>
      <c r="MG27" s="122"/>
      <c r="MH27" s="122"/>
      <c r="MI27" s="122"/>
      <c r="MJ27" s="122"/>
      <c r="MK27" s="122"/>
      <c r="ML27" s="121"/>
      <c r="MM27" s="122"/>
      <c r="MN27" s="122"/>
      <c r="MO27" s="122"/>
      <c r="MP27" s="122"/>
      <c r="MQ27" s="122"/>
      <c r="MR27" s="121"/>
      <c r="MS27" s="122"/>
      <c r="MT27" s="122"/>
      <c r="MU27" s="122"/>
      <c r="MV27" s="122"/>
      <c r="MW27" s="122"/>
      <c r="MX27" s="121"/>
      <c r="MY27" s="122"/>
      <c r="MZ27" s="122"/>
      <c r="NA27" s="122"/>
      <c r="NB27" s="122"/>
      <c r="NC27" s="122"/>
      <c r="ND27" s="121"/>
      <c r="NE27" s="122"/>
      <c r="NF27" s="122"/>
      <c r="NG27" s="122"/>
      <c r="NH27" s="122"/>
      <c r="NI27" s="122"/>
      <c r="NJ27" s="121"/>
    </row>
    <row r="28" spans="1:374" x14ac:dyDescent="0.45">
      <c r="A28" s="272"/>
      <c r="B28" s="17" t="s">
        <v>227</v>
      </c>
      <c r="U28" s="14">
        <v>1</v>
      </c>
      <c r="V28" s="14">
        <v>1</v>
      </c>
      <c r="W28" s="14">
        <v>1</v>
      </c>
      <c r="X28" s="14">
        <v>1</v>
      </c>
      <c r="Y28" s="14">
        <v>1</v>
      </c>
      <c r="Z28" s="15">
        <v>1</v>
      </c>
      <c r="BK28" s="14">
        <v>0.38100000000000001</v>
      </c>
      <c r="BL28" s="14">
        <f>38.1%+100.8%</f>
        <v>1.389</v>
      </c>
      <c r="BM28" s="14">
        <f>38.1%+100.8%</f>
        <v>1.389</v>
      </c>
      <c r="BN28" s="14">
        <v>0.38100000000000001</v>
      </c>
      <c r="BO28" s="14">
        <v>0.38100000000000001</v>
      </c>
      <c r="BP28" s="15">
        <v>0.38100000000000001</v>
      </c>
      <c r="BR28" s="14">
        <v>0.80049999999999999</v>
      </c>
      <c r="BS28" s="14">
        <v>0.80049999999999999</v>
      </c>
      <c r="BU28" s="14">
        <v>0.80049999999999999</v>
      </c>
      <c r="BV28" s="15">
        <v>0.80049999999999999</v>
      </c>
      <c r="GZ28" s="14">
        <v>4.48E-2</v>
      </c>
      <c r="HA28" s="14">
        <v>4.48E-2</v>
      </c>
      <c r="HC28" s="14">
        <v>4.48E-2</v>
      </c>
      <c r="HD28" s="15">
        <v>4.48E-2</v>
      </c>
      <c r="JA28" s="14">
        <v>-0.2</v>
      </c>
      <c r="JB28" s="14">
        <v>-0.2</v>
      </c>
      <c r="JC28" s="14">
        <v>-0.2</v>
      </c>
      <c r="JD28" s="14">
        <v>-0.2</v>
      </c>
      <c r="JE28" s="14">
        <v>-0.2</v>
      </c>
      <c r="JF28" s="15">
        <v>-0.2</v>
      </c>
      <c r="JG28" s="14">
        <v>-0.2</v>
      </c>
      <c r="JH28" s="14">
        <v>-0.2</v>
      </c>
      <c r="JI28" s="14">
        <v>-0.2</v>
      </c>
      <c r="JJ28" s="14">
        <v>-0.2</v>
      </c>
      <c r="JK28" s="14">
        <v>-0.2</v>
      </c>
      <c r="JL28" s="15">
        <v>-0.2</v>
      </c>
    </row>
    <row r="29" spans="1:374" s="19" customFormat="1" x14ac:dyDescent="0.45">
      <c r="A29" s="272" t="s">
        <v>283</v>
      </c>
      <c r="B29" s="21" t="s">
        <v>284</v>
      </c>
      <c r="H29" s="20"/>
      <c r="N29" s="20"/>
      <c r="T29" s="20"/>
      <c r="Z29" s="20"/>
      <c r="AF29" s="20"/>
      <c r="AL29" s="20"/>
      <c r="AR29" s="20"/>
      <c r="AX29" s="20"/>
      <c r="BD29" s="20"/>
      <c r="BJ29" s="20"/>
      <c r="BP29" s="20"/>
      <c r="BV29" s="20"/>
      <c r="CB29" s="20"/>
      <c r="CH29" s="20"/>
      <c r="CN29" s="20"/>
      <c r="CT29" s="20"/>
      <c r="CZ29" s="20"/>
      <c r="DF29" s="20"/>
      <c r="DL29" s="20"/>
      <c r="DR29" s="20"/>
      <c r="DX29" s="20"/>
      <c r="DZ29" s="19">
        <v>0.31680000000000003</v>
      </c>
      <c r="EA29" s="19">
        <v>0.31680000000000003</v>
      </c>
      <c r="EC29" s="19">
        <v>0.40899999999999997</v>
      </c>
      <c r="ED29" s="20">
        <v>0.40899999999999997</v>
      </c>
      <c r="EF29" s="19">
        <v>0.40899999999999997</v>
      </c>
      <c r="EG29" s="19">
        <v>0.40899999999999997</v>
      </c>
      <c r="EI29" s="19">
        <v>0.40899999999999997</v>
      </c>
      <c r="EJ29" s="20">
        <v>0.40899999999999997</v>
      </c>
      <c r="EP29" s="20"/>
      <c r="EV29" s="20"/>
      <c r="FB29" s="20"/>
      <c r="FH29" s="20"/>
      <c r="FN29" s="20"/>
      <c r="FT29" s="20"/>
      <c r="FZ29" s="20"/>
      <c r="GF29" s="20"/>
      <c r="GL29" s="20"/>
      <c r="GR29" s="20"/>
      <c r="GX29" s="20"/>
      <c r="HD29" s="20"/>
      <c r="HJ29" s="20"/>
      <c r="HK29" s="19">
        <v>0.35</v>
      </c>
      <c r="HL29" s="19">
        <v>0.35</v>
      </c>
      <c r="HM29" s="19">
        <v>0.35</v>
      </c>
      <c r="HN29" s="19">
        <v>0.35</v>
      </c>
      <c r="HO29" s="19">
        <v>0.35</v>
      </c>
      <c r="HP29" s="20">
        <v>0.35</v>
      </c>
      <c r="HV29" s="20"/>
      <c r="IB29" s="20"/>
      <c r="IH29" s="20"/>
      <c r="IN29" s="20"/>
      <c r="IT29" s="20"/>
      <c r="IU29" s="19">
        <f>1.16%*11+7.46%+18.75%</f>
        <v>0.38969999999999999</v>
      </c>
      <c r="IV29" s="19">
        <f>1.16%*11+7.46%+18.75%</f>
        <v>0.38969999999999999</v>
      </c>
      <c r="IW29" s="19">
        <f>1.16%*11+7.46%+18.75%</f>
        <v>0.38969999999999999</v>
      </c>
      <c r="IX29" s="19">
        <f>1.16%*11+7.46%</f>
        <v>0.20219999999999999</v>
      </c>
      <c r="IY29" s="19">
        <f>1.16%*11+7.46%</f>
        <v>0.20219999999999999</v>
      </c>
      <c r="IZ29" s="20">
        <v>0.20219999999999999</v>
      </c>
      <c r="JF29" s="20"/>
      <c r="JL29" s="20"/>
      <c r="JR29" s="20"/>
      <c r="JX29" s="20"/>
      <c r="KD29" s="20"/>
      <c r="KJ29" s="20"/>
      <c r="KP29" s="20"/>
      <c r="KV29" s="20"/>
      <c r="LB29" s="20"/>
      <c r="LH29" s="20"/>
      <c r="LN29" s="20"/>
      <c r="LT29" s="20"/>
      <c r="LZ29" s="20"/>
      <c r="MF29" s="20"/>
      <c r="ML29" s="20"/>
      <c r="MR29" s="20"/>
      <c r="MX29" s="20"/>
      <c r="ND29" s="20"/>
      <c r="NJ29" s="20"/>
    </row>
    <row r="30" spans="1:374" s="14" customFormat="1" x14ac:dyDescent="0.45">
      <c r="A30" s="272"/>
      <c r="B30" s="17" t="s">
        <v>285</v>
      </c>
      <c r="H30" s="15"/>
      <c r="N30" s="15"/>
      <c r="T30" s="15"/>
      <c r="Z30" s="15"/>
      <c r="AF30" s="15"/>
      <c r="AL30" s="15"/>
      <c r="AR30" s="15"/>
      <c r="AX30" s="15"/>
      <c r="BD30" s="15"/>
      <c r="BJ30" s="15"/>
      <c r="BP30" s="15"/>
      <c r="BV30" s="15"/>
      <c r="CB30" s="15"/>
      <c r="CH30" s="15"/>
      <c r="CN30" s="15"/>
      <c r="CT30" s="15"/>
      <c r="CZ30" s="15"/>
      <c r="DF30" s="15"/>
      <c r="DL30" s="15"/>
      <c r="DR30" s="15"/>
      <c r="DX30" s="15"/>
      <c r="ED30" s="15"/>
      <c r="EJ30" s="15"/>
      <c r="EP30" s="15"/>
      <c r="EV30" s="15"/>
      <c r="FB30" s="15"/>
      <c r="FH30" s="15"/>
      <c r="FN30" s="15"/>
      <c r="FT30" s="15"/>
      <c r="FZ30" s="15"/>
      <c r="GF30" s="15"/>
      <c r="GL30" s="15"/>
      <c r="GR30" s="15"/>
      <c r="GX30" s="15"/>
      <c r="HD30" s="15"/>
      <c r="HJ30" s="15"/>
      <c r="HP30" s="15"/>
      <c r="HV30" s="15"/>
      <c r="IB30" s="15"/>
      <c r="IH30" s="15"/>
      <c r="IN30" s="15"/>
      <c r="IT30" s="15"/>
      <c r="IZ30" s="15"/>
      <c r="JF30" s="15"/>
      <c r="JL30" s="15"/>
      <c r="JR30" s="15"/>
      <c r="JX30" s="15"/>
      <c r="KD30" s="15"/>
      <c r="KE30" s="14">
        <v>0.3</v>
      </c>
      <c r="KF30" s="14">
        <v>0.3</v>
      </c>
      <c r="KG30" s="14">
        <v>0.3</v>
      </c>
      <c r="KH30" s="14">
        <v>0.3</v>
      </c>
      <c r="KI30" s="14">
        <v>0.3</v>
      </c>
      <c r="KJ30" s="15">
        <v>0.3</v>
      </c>
      <c r="KP30" s="15"/>
      <c r="KV30" s="15"/>
      <c r="LB30" s="15"/>
      <c r="LH30" s="15"/>
      <c r="LN30" s="15"/>
      <c r="LT30" s="15"/>
      <c r="LZ30" s="15"/>
      <c r="MF30" s="15"/>
      <c r="ML30" s="15"/>
      <c r="MR30" s="15"/>
      <c r="MX30" s="15"/>
      <c r="ND30" s="15"/>
      <c r="NJ30" s="15"/>
    </row>
    <row r="31" spans="1:374" x14ac:dyDescent="0.45">
      <c r="A31" s="272"/>
      <c r="B31" s="17" t="s">
        <v>286</v>
      </c>
      <c r="U31" s="14">
        <f>1.6%*12</f>
        <v>0.192</v>
      </c>
      <c r="V31" s="14">
        <f t="shared" ref="V31:Z31" si="3">1.6%*12</f>
        <v>0.192</v>
      </c>
      <c r="W31" s="14">
        <f t="shared" si="3"/>
        <v>0.192</v>
      </c>
      <c r="X31" s="14">
        <f t="shared" si="3"/>
        <v>0.192</v>
      </c>
      <c r="Y31" s="14">
        <f t="shared" si="3"/>
        <v>0.192</v>
      </c>
      <c r="Z31" s="15">
        <f t="shared" si="3"/>
        <v>0.192</v>
      </c>
      <c r="DY31" s="14">
        <f>6.34%*10</f>
        <v>0.63400000000000001</v>
      </c>
      <c r="DZ31" s="14">
        <f t="shared" ref="DZ31:EJ31" si="4">6.34%*10</f>
        <v>0.63400000000000001</v>
      </c>
      <c r="EA31" s="14">
        <f t="shared" si="4"/>
        <v>0.63400000000000001</v>
      </c>
      <c r="EB31" s="14">
        <f t="shared" si="4"/>
        <v>0.63400000000000001</v>
      </c>
      <c r="EC31" s="14">
        <f t="shared" si="4"/>
        <v>0.63400000000000001</v>
      </c>
      <c r="ED31" s="15">
        <f t="shared" si="4"/>
        <v>0.63400000000000001</v>
      </c>
      <c r="EE31" s="14">
        <f>6.34%*10</f>
        <v>0.63400000000000001</v>
      </c>
      <c r="EF31" s="14">
        <v>0.63400000000000001</v>
      </c>
      <c r="EG31" s="14">
        <v>0.63400000000000001</v>
      </c>
      <c r="EH31" s="14">
        <f t="shared" si="4"/>
        <v>0.63400000000000001</v>
      </c>
      <c r="EI31" s="14">
        <f t="shared" si="4"/>
        <v>0.63400000000000001</v>
      </c>
      <c r="EJ31" s="15">
        <f t="shared" si="4"/>
        <v>0.63400000000000001</v>
      </c>
    </row>
    <row r="32" spans="1:374" x14ac:dyDescent="0.45">
      <c r="A32" s="272" t="s">
        <v>287</v>
      </c>
      <c r="B32" s="12" t="s">
        <v>288</v>
      </c>
      <c r="MS32" s="14">
        <v>0.4224</v>
      </c>
      <c r="MT32" s="14">
        <v>0.4224</v>
      </c>
      <c r="MU32" s="14">
        <v>0.4224</v>
      </c>
      <c r="MV32" s="14">
        <v>0.4224</v>
      </c>
      <c r="MW32" s="14">
        <v>0.4224</v>
      </c>
      <c r="MX32" s="15">
        <v>0.4224</v>
      </c>
    </row>
    <row r="33" spans="1:374" x14ac:dyDescent="0.45">
      <c r="A33" s="272"/>
      <c r="B33" s="221" t="s">
        <v>289</v>
      </c>
    </row>
    <row r="34" spans="1:374" s="123" customFormat="1" x14ac:dyDescent="0.45">
      <c r="A34" s="272"/>
      <c r="B34" s="222" t="s">
        <v>317</v>
      </c>
      <c r="C34" s="122"/>
      <c r="D34" s="122"/>
      <c r="E34" s="122"/>
      <c r="F34" s="122"/>
      <c r="G34" s="122"/>
      <c r="H34" s="121"/>
      <c r="I34" s="122"/>
      <c r="J34" s="122"/>
      <c r="K34" s="122"/>
      <c r="L34" s="122"/>
      <c r="M34" s="122"/>
      <c r="N34" s="121"/>
      <c r="O34" s="122"/>
      <c r="P34" s="122"/>
      <c r="Q34" s="122"/>
      <c r="R34" s="122"/>
      <c r="S34" s="122"/>
      <c r="T34" s="121"/>
      <c r="U34" s="122"/>
      <c r="V34" s="122"/>
      <c r="W34" s="122"/>
      <c r="X34" s="122"/>
      <c r="Y34" s="122"/>
      <c r="Z34" s="121"/>
      <c r="AA34" s="122"/>
      <c r="AB34" s="122"/>
      <c r="AC34" s="122"/>
      <c r="AD34" s="122"/>
      <c r="AE34" s="122"/>
      <c r="AF34" s="121"/>
      <c r="AG34" s="122"/>
      <c r="AH34" s="122"/>
      <c r="AI34" s="122"/>
      <c r="AJ34" s="122"/>
      <c r="AK34" s="122"/>
      <c r="AL34" s="121"/>
      <c r="AM34" s="122"/>
      <c r="AN34" s="122"/>
      <c r="AO34" s="122"/>
      <c r="AP34" s="122"/>
      <c r="AQ34" s="122"/>
      <c r="AR34" s="121"/>
      <c r="AS34" s="122"/>
      <c r="AT34" s="122"/>
      <c r="AU34" s="122"/>
      <c r="AV34" s="122"/>
      <c r="AW34" s="122"/>
      <c r="AX34" s="121"/>
      <c r="AY34" s="122"/>
      <c r="AZ34" s="122"/>
      <c r="BA34" s="122"/>
      <c r="BB34" s="122"/>
      <c r="BC34" s="122"/>
      <c r="BD34" s="121"/>
      <c r="BE34" s="122"/>
      <c r="BF34" s="122"/>
      <c r="BG34" s="122"/>
      <c r="BH34" s="122"/>
      <c r="BI34" s="122"/>
      <c r="BJ34" s="121"/>
      <c r="BK34" s="122"/>
      <c r="BL34" s="122"/>
      <c r="BM34" s="122"/>
      <c r="BN34" s="122"/>
      <c r="BO34" s="122"/>
      <c r="BP34" s="121"/>
      <c r="BQ34" s="122"/>
      <c r="BR34" s="122"/>
      <c r="BS34" s="122"/>
      <c r="BT34" s="122"/>
      <c r="BU34" s="122"/>
      <c r="BV34" s="121"/>
      <c r="BW34" s="122"/>
      <c r="BX34" s="122"/>
      <c r="BY34" s="122"/>
      <c r="BZ34" s="122"/>
      <c r="CA34" s="122"/>
      <c r="CB34" s="121"/>
      <c r="CC34" s="122"/>
      <c r="CD34" s="122"/>
      <c r="CE34" s="122"/>
      <c r="CF34" s="122"/>
      <c r="CG34" s="122"/>
      <c r="CH34" s="121"/>
      <c r="CI34" s="122"/>
      <c r="CJ34" s="122"/>
      <c r="CK34" s="122"/>
      <c r="CL34" s="122"/>
      <c r="CM34" s="122"/>
      <c r="CN34" s="121"/>
      <c r="CO34" s="122"/>
      <c r="CP34" s="122"/>
      <c r="CQ34" s="122"/>
      <c r="CR34" s="122"/>
      <c r="CS34" s="122"/>
      <c r="CT34" s="121"/>
      <c r="CU34" s="122"/>
      <c r="CV34" s="122"/>
      <c r="CW34" s="122"/>
      <c r="CX34" s="122"/>
      <c r="CY34" s="122"/>
      <c r="CZ34" s="121"/>
      <c r="DA34" s="122"/>
      <c r="DB34" s="122"/>
      <c r="DC34" s="122"/>
      <c r="DD34" s="122"/>
      <c r="DE34" s="122"/>
      <c r="DF34" s="121"/>
      <c r="DG34" s="122"/>
      <c r="DH34" s="122"/>
      <c r="DI34" s="122"/>
      <c r="DJ34" s="122"/>
      <c r="DK34" s="122"/>
      <c r="DL34" s="121"/>
      <c r="DM34" s="122"/>
      <c r="DN34" s="122"/>
      <c r="DO34" s="122"/>
      <c r="DP34" s="122"/>
      <c r="DQ34" s="122"/>
      <c r="DR34" s="121"/>
      <c r="DS34" s="122"/>
      <c r="DT34" s="122"/>
      <c r="DU34" s="122"/>
      <c r="DV34" s="122"/>
      <c r="DW34" s="122"/>
      <c r="DX34" s="121"/>
      <c r="DY34" s="122"/>
      <c r="DZ34" s="122"/>
      <c r="EA34" s="122"/>
      <c r="EB34" s="122"/>
      <c r="EC34" s="122"/>
      <c r="ED34" s="121"/>
      <c r="EE34" s="122"/>
      <c r="EF34" s="122"/>
      <c r="EG34" s="122"/>
      <c r="EH34" s="122"/>
      <c r="EI34" s="122"/>
      <c r="EJ34" s="121"/>
      <c r="EK34" s="122"/>
      <c r="EL34" s="122"/>
      <c r="EM34" s="122"/>
      <c r="EN34" s="122"/>
      <c r="EO34" s="122"/>
      <c r="EP34" s="121"/>
      <c r="EQ34" s="122"/>
      <c r="ER34" s="122"/>
      <c r="ES34" s="122"/>
      <c r="ET34" s="122"/>
      <c r="EU34" s="122"/>
      <c r="EV34" s="121"/>
      <c r="EW34" s="122"/>
      <c r="EX34" s="122"/>
      <c r="EY34" s="122"/>
      <c r="EZ34" s="122"/>
      <c r="FA34" s="122"/>
      <c r="FB34" s="121"/>
      <c r="FC34" s="122"/>
      <c r="FD34" s="122"/>
      <c r="FE34" s="122"/>
      <c r="FF34" s="122"/>
      <c r="FG34" s="122"/>
      <c r="FH34" s="121"/>
      <c r="FI34" s="122"/>
      <c r="FJ34" s="122"/>
      <c r="FK34" s="122"/>
      <c r="FL34" s="122"/>
      <c r="FM34" s="122"/>
      <c r="FN34" s="121"/>
      <c r="FO34" s="122"/>
      <c r="FP34" s="122"/>
      <c r="FQ34" s="122"/>
      <c r="FR34" s="122"/>
      <c r="FS34" s="122"/>
      <c r="FT34" s="121"/>
      <c r="FU34" s="122"/>
      <c r="FV34" s="122"/>
      <c r="FW34" s="122"/>
      <c r="FX34" s="122"/>
      <c r="FY34" s="122"/>
      <c r="FZ34" s="121"/>
      <c r="GA34" s="122"/>
      <c r="GB34" s="122"/>
      <c r="GC34" s="122"/>
      <c r="GD34" s="122"/>
      <c r="GE34" s="122"/>
      <c r="GF34" s="121"/>
      <c r="GG34" s="122"/>
      <c r="GH34" s="122"/>
      <c r="GI34" s="122"/>
      <c r="GJ34" s="122"/>
      <c r="GK34" s="122"/>
      <c r="GL34" s="121"/>
      <c r="GM34" s="122"/>
      <c r="GN34" s="122"/>
      <c r="GO34" s="122"/>
      <c r="GP34" s="122"/>
      <c r="GQ34" s="122"/>
      <c r="GR34" s="121"/>
      <c r="GS34" s="122"/>
      <c r="GT34" s="122"/>
      <c r="GU34" s="122"/>
      <c r="GV34" s="122"/>
      <c r="GW34" s="122"/>
      <c r="GX34" s="121"/>
      <c r="GY34" s="122"/>
      <c r="GZ34" s="122"/>
      <c r="HA34" s="122"/>
      <c r="HB34" s="122"/>
      <c r="HC34" s="122"/>
      <c r="HD34" s="121"/>
      <c r="HE34" s="122"/>
      <c r="HF34" s="122"/>
      <c r="HG34" s="122"/>
      <c r="HH34" s="122"/>
      <c r="HI34" s="122"/>
      <c r="HJ34" s="121"/>
      <c r="HK34" s="122"/>
      <c r="HL34" s="122"/>
      <c r="HM34" s="122"/>
      <c r="HN34" s="122"/>
      <c r="HO34" s="122"/>
      <c r="HP34" s="121"/>
      <c r="HQ34" s="122"/>
      <c r="HR34" s="122"/>
      <c r="HS34" s="122"/>
      <c r="HT34" s="122"/>
      <c r="HU34" s="122"/>
      <c r="HV34" s="121"/>
      <c r="HW34" s="122"/>
      <c r="HX34" s="122"/>
      <c r="HY34" s="122"/>
      <c r="HZ34" s="122"/>
      <c r="IA34" s="122"/>
      <c r="IB34" s="121"/>
      <c r="IC34" s="122"/>
      <c r="ID34" s="122"/>
      <c r="IE34" s="122"/>
      <c r="IF34" s="122"/>
      <c r="IG34" s="122"/>
      <c r="IH34" s="121"/>
      <c r="II34" s="122"/>
      <c r="IJ34" s="122"/>
      <c r="IK34" s="122"/>
      <c r="IL34" s="122"/>
      <c r="IM34" s="122"/>
      <c r="IN34" s="121"/>
      <c r="IO34" s="122"/>
      <c r="IP34" s="122"/>
      <c r="IQ34" s="122"/>
      <c r="IR34" s="122"/>
      <c r="IS34" s="122"/>
      <c r="IT34" s="121"/>
      <c r="IU34" s="122"/>
      <c r="IV34" s="122"/>
      <c r="IW34" s="122"/>
      <c r="IX34" s="122"/>
      <c r="IY34" s="122"/>
      <c r="IZ34" s="121"/>
      <c r="JA34" s="122"/>
      <c r="JB34" s="122"/>
      <c r="JC34" s="122"/>
      <c r="JD34" s="122"/>
      <c r="JE34" s="122"/>
      <c r="JF34" s="121"/>
      <c r="JG34" s="122"/>
      <c r="JH34" s="122"/>
      <c r="JI34" s="122"/>
      <c r="JJ34" s="122"/>
      <c r="JK34" s="122"/>
      <c r="JL34" s="121"/>
      <c r="JM34" s="122"/>
      <c r="JN34" s="122"/>
      <c r="JO34" s="122"/>
      <c r="JP34" s="122"/>
      <c r="JQ34" s="122"/>
      <c r="JR34" s="121"/>
      <c r="JS34" s="122"/>
      <c r="JT34" s="122"/>
      <c r="JU34" s="122"/>
      <c r="JV34" s="122"/>
      <c r="JW34" s="122"/>
      <c r="JX34" s="121"/>
      <c r="JY34" s="122"/>
      <c r="JZ34" s="122"/>
      <c r="KA34" s="122"/>
      <c r="KB34" s="122"/>
      <c r="KC34" s="122"/>
      <c r="KD34" s="121"/>
      <c r="KE34" s="122"/>
      <c r="KF34" s="122"/>
      <c r="KG34" s="122"/>
      <c r="KH34" s="122"/>
      <c r="KI34" s="122"/>
      <c r="KJ34" s="121"/>
      <c r="KK34" s="122"/>
      <c r="KL34" s="122"/>
      <c r="KM34" s="122"/>
      <c r="KN34" s="122"/>
      <c r="KO34" s="122"/>
      <c r="KP34" s="121"/>
      <c r="KQ34" s="122"/>
      <c r="KR34" s="122"/>
      <c r="KS34" s="122"/>
      <c r="KT34" s="122"/>
      <c r="KU34" s="122"/>
      <c r="KV34" s="121"/>
      <c r="KW34" s="122"/>
      <c r="KX34" s="122"/>
      <c r="KY34" s="122"/>
      <c r="KZ34" s="122"/>
      <c r="LA34" s="122"/>
      <c r="LB34" s="121"/>
      <c r="LC34" s="122"/>
      <c r="LD34" s="122"/>
      <c r="LE34" s="122"/>
      <c r="LF34" s="122"/>
      <c r="LG34" s="122"/>
      <c r="LH34" s="121"/>
      <c r="LI34" s="122"/>
      <c r="LJ34" s="122"/>
      <c r="LK34" s="122"/>
      <c r="LL34" s="122"/>
      <c r="LM34" s="122"/>
      <c r="LN34" s="121"/>
      <c r="LO34" s="122"/>
      <c r="LP34" s="122"/>
      <c r="LQ34" s="122"/>
      <c r="LR34" s="122"/>
      <c r="LS34" s="122"/>
      <c r="LT34" s="121"/>
      <c r="LU34" s="122"/>
      <c r="LV34" s="122"/>
      <c r="LW34" s="122"/>
      <c r="LX34" s="122"/>
      <c r="LY34" s="122"/>
      <c r="LZ34" s="121"/>
      <c r="MA34" s="122"/>
      <c r="MB34" s="122"/>
      <c r="MC34" s="122"/>
      <c r="MD34" s="122"/>
      <c r="ME34" s="122"/>
      <c r="MF34" s="121"/>
      <c r="MG34" s="122"/>
      <c r="MH34" s="122"/>
      <c r="MI34" s="122"/>
      <c r="MJ34" s="122"/>
      <c r="MK34" s="122"/>
      <c r="ML34" s="121"/>
      <c r="MM34" s="122"/>
      <c r="MN34" s="122"/>
      <c r="MO34" s="122"/>
      <c r="MP34" s="122"/>
      <c r="MQ34" s="122"/>
      <c r="MR34" s="121"/>
      <c r="MS34" s="122"/>
      <c r="MT34" s="122"/>
      <c r="MU34" s="122"/>
      <c r="MV34" s="122"/>
      <c r="MW34" s="122"/>
      <c r="MX34" s="121"/>
      <c r="MY34" s="122"/>
      <c r="MZ34" s="122"/>
      <c r="NA34" s="122"/>
      <c r="NB34" s="122"/>
      <c r="NC34" s="122"/>
      <c r="ND34" s="121"/>
      <c r="NE34" s="122"/>
      <c r="NF34" s="122"/>
      <c r="NG34" s="122"/>
      <c r="NH34" s="122"/>
      <c r="NI34" s="122"/>
      <c r="NJ34" s="121"/>
    </row>
    <row r="35" spans="1:374" x14ac:dyDescent="0.45">
      <c r="A35" s="272"/>
      <c r="B35" s="12" t="s">
        <v>291</v>
      </c>
      <c r="CI35" s="14">
        <v>0.7218</v>
      </c>
      <c r="CJ35" s="14">
        <v>1.2232000000000001</v>
      </c>
      <c r="CK35" s="14">
        <v>1.2232000000000001</v>
      </c>
      <c r="CM35" s="14">
        <v>0.50139999999999996</v>
      </c>
      <c r="CN35" s="15">
        <v>0.50139999999999996</v>
      </c>
      <c r="DS35" s="14">
        <f>-5.04%*5</f>
        <v>-0.252</v>
      </c>
      <c r="DT35" s="14">
        <f>-5.04%*5</f>
        <v>-0.252</v>
      </c>
      <c r="DU35" s="14">
        <f>-5.04%*5</f>
        <v>-0.252</v>
      </c>
      <c r="DV35" s="14">
        <f>-5.04%*5</f>
        <v>-0.252</v>
      </c>
      <c r="DW35" s="14">
        <f>-5.04%*5</f>
        <v>-0.252</v>
      </c>
      <c r="DX35" s="15">
        <v>-0.252</v>
      </c>
      <c r="GA35" s="14">
        <v>0.55000000000000004</v>
      </c>
      <c r="GB35" s="14">
        <v>0.55000000000000004</v>
      </c>
      <c r="GC35" s="14">
        <v>0.55000000000000004</v>
      </c>
      <c r="GD35" s="14">
        <v>0.55000000000000004</v>
      </c>
      <c r="GE35" s="14">
        <v>0.55000000000000004</v>
      </c>
      <c r="GF35" s="15">
        <v>0.55000000000000004</v>
      </c>
    </row>
    <row r="36" spans="1:374" x14ac:dyDescent="0.45">
      <c r="A36" s="272"/>
      <c r="B36" s="12" t="s">
        <v>292</v>
      </c>
      <c r="CD36" s="14">
        <v>0.67200000000000004</v>
      </c>
      <c r="CE36" s="14">
        <v>0.67200000000000004</v>
      </c>
      <c r="CO36" s="14">
        <v>0.2772</v>
      </c>
      <c r="CP36" s="14">
        <v>0.77</v>
      </c>
      <c r="CQ36" s="14">
        <v>0.77</v>
      </c>
      <c r="CS36" s="14">
        <v>0.49280000000000002</v>
      </c>
      <c r="CT36" s="15">
        <v>0.49280000000000002</v>
      </c>
      <c r="CU36" s="14">
        <v>0.2772</v>
      </c>
      <c r="CV36" s="14">
        <v>0.77</v>
      </c>
      <c r="CW36" s="14">
        <v>0.77</v>
      </c>
      <c r="CY36" s="14">
        <v>0.49280000000000002</v>
      </c>
      <c r="CZ36" s="15">
        <v>0.49280000000000002</v>
      </c>
      <c r="EL36" s="14">
        <v>0.95</v>
      </c>
      <c r="EM36" s="14">
        <v>0.95</v>
      </c>
      <c r="EO36" s="14">
        <v>0.95</v>
      </c>
      <c r="EP36" s="15">
        <v>0.95</v>
      </c>
      <c r="EQ36" s="14">
        <v>0.20880000000000001</v>
      </c>
      <c r="ER36" s="14">
        <v>0.20880000000000001</v>
      </c>
      <c r="ES36" s="14">
        <v>0.20880000000000001</v>
      </c>
      <c r="ET36" s="14">
        <v>0.20880000000000001</v>
      </c>
      <c r="EU36" s="14">
        <v>0.20880000000000001</v>
      </c>
      <c r="EV36" s="15">
        <v>0.20880000000000001</v>
      </c>
      <c r="EW36" s="14">
        <v>0.20880000000000001</v>
      </c>
      <c r="EX36" s="14">
        <v>0.20880000000000001</v>
      </c>
      <c r="EY36" s="14">
        <v>0.20880000000000001</v>
      </c>
      <c r="EZ36" s="14">
        <v>0.20880000000000001</v>
      </c>
      <c r="FA36" s="14">
        <v>0.20880000000000001</v>
      </c>
      <c r="FB36" s="15">
        <v>0.20880000000000001</v>
      </c>
      <c r="HR36" s="14">
        <v>0.67200000000000004</v>
      </c>
      <c r="HS36" s="14">
        <v>0.67200000000000004</v>
      </c>
      <c r="LI36" s="14">
        <v>0.44350000000000001</v>
      </c>
      <c r="LJ36" s="14">
        <v>0.44350000000000001</v>
      </c>
      <c r="LK36" s="14">
        <v>0.44350000000000001</v>
      </c>
      <c r="LL36" s="14">
        <v>0.44350000000000001</v>
      </c>
      <c r="LM36" s="14">
        <v>0.44350000000000001</v>
      </c>
      <c r="LN36" s="15">
        <v>0.44350000000000001</v>
      </c>
    </row>
    <row r="37" spans="1:374" x14ac:dyDescent="0.45">
      <c r="A37" s="272"/>
      <c r="B37" s="12" t="s">
        <v>293</v>
      </c>
      <c r="AS37" s="14">
        <v>0.65</v>
      </c>
      <c r="AT37" s="14">
        <v>0.65</v>
      </c>
      <c r="AU37" s="14">
        <v>0.65</v>
      </c>
      <c r="AW37" s="14">
        <v>0.65</v>
      </c>
      <c r="AX37" s="15">
        <v>0.65</v>
      </c>
      <c r="AY37" s="14">
        <v>0.65</v>
      </c>
      <c r="AZ37" s="14">
        <v>0.65</v>
      </c>
      <c r="BA37" s="14">
        <v>0.65</v>
      </c>
      <c r="BC37" s="14">
        <v>0.65</v>
      </c>
      <c r="BD37" s="15">
        <v>0.65</v>
      </c>
    </row>
    <row r="38" spans="1:374" x14ac:dyDescent="0.45">
      <c r="A38" s="272"/>
      <c r="B38" s="12" t="s">
        <v>294</v>
      </c>
      <c r="LI38" s="122"/>
      <c r="LJ38" s="122"/>
      <c r="LK38" s="122"/>
      <c r="LL38" s="122"/>
      <c r="LM38" s="122"/>
      <c r="LN38" s="121"/>
    </row>
    <row r="39" spans="1:374" x14ac:dyDescent="0.45">
      <c r="A39" s="272"/>
      <c r="B39" s="12" t="s">
        <v>295</v>
      </c>
      <c r="AT39" s="14">
        <v>0.40679999999999999</v>
      </c>
      <c r="AU39" s="14">
        <v>0.40679999999999999</v>
      </c>
      <c r="AW39" s="14">
        <v>0.40679999999999999</v>
      </c>
      <c r="AX39" s="15">
        <v>0.40679999999999999</v>
      </c>
      <c r="AZ39" s="14">
        <v>0.40679999999999999</v>
      </c>
      <c r="BA39" s="14">
        <v>0.40679999999999999</v>
      </c>
      <c r="BC39" s="14">
        <v>0.40679999999999999</v>
      </c>
      <c r="BD39" s="15">
        <v>0.40679999999999999</v>
      </c>
      <c r="CJ39" s="14">
        <v>0.2009</v>
      </c>
      <c r="CK39" s="14">
        <v>0.2009</v>
      </c>
      <c r="CM39" s="14">
        <v>0.2009</v>
      </c>
      <c r="CN39" s="15">
        <v>0.2009</v>
      </c>
      <c r="DS39" s="14">
        <v>8.5599999999999996E-2</v>
      </c>
      <c r="DT39" s="14">
        <v>8.5599999999999996E-2</v>
      </c>
      <c r="DU39" s="14">
        <v>8.5599999999999996E-2</v>
      </c>
      <c r="DV39" s="14">
        <v>8.5599999999999996E-2</v>
      </c>
      <c r="DW39" s="14">
        <v>8.5599999999999996E-2</v>
      </c>
      <c r="DX39" s="15">
        <v>8.5599999999999996E-2</v>
      </c>
      <c r="II39" s="14">
        <f>13.6%+27.1%+40.8%</f>
        <v>0.81499999999999995</v>
      </c>
      <c r="IJ39" s="14">
        <f>13.6%+27.1%+40.8%</f>
        <v>0.81499999999999995</v>
      </c>
      <c r="IK39" s="14">
        <f>13.6%+27.1%+40.8%</f>
        <v>0.81499999999999995</v>
      </c>
      <c r="IL39" s="14">
        <f>13.6%+27.1%+40.8%</f>
        <v>0.81499999999999995</v>
      </c>
      <c r="IM39" s="14">
        <f>13.6%+27.1%+40.8%</f>
        <v>0.81499999999999995</v>
      </c>
      <c r="IN39" s="15">
        <v>0.81499999999999995</v>
      </c>
      <c r="IO39" s="14">
        <v>0.25750000000000001</v>
      </c>
      <c r="IP39" s="14">
        <v>0.25750000000000001</v>
      </c>
      <c r="IQ39" s="14">
        <v>0.25750000000000001</v>
      </c>
      <c r="IR39" s="14">
        <v>0.25750000000000001</v>
      </c>
      <c r="IS39" s="14">
        <v>0.25750000000000001</v>
      </c>
      <c r="IT39" s="15">
        <v>0.25750000000000001</v>
      </c>
      <c r="JN39" s="14">
        <v>0.3891</v>
      </c>
      <c r="JO39" s="14">
        <v>0.3891</v>
      </c>
      <c r="JQ39" s="14">
        <v>0.3891</v>
      </c>
      <c r="JR39" s="15">
        <v>0.3891</v>
      </c>
      <c r="KF39" s="14">
        <v>0.80779999999999996</v>
      </c>
      <c r="KG39" s="14">
        <v>0.80779999999999996</v>
      </c>
      <c r="LC39" s="14">
        <f>1.4%*30</f>
        <v>0.41999999999999993</v>
      </c>
      <c r="LD39" s="14">
        <f>1.4%*30</f>
        <v>0.41999999999999993</v>
      </c>
      <c r="LE39" s="14">
        <f>1.4%*30</f>
        <v>0.41999999999999993</v>
      </c>
      <c r="LF39" s="14">
        <f>1.4%*30</f>
        <v>0.41999999999999993</v>
      </c>
      <c r="LG39" s="14">
        <f>1.4%*30</f>
        <v>0.41999999999999993</v>
      </c>
      <c r="LH39" s="15">
        <v>0.41999999999999993</v>
      </c>
    </row>
    <row r="40" spans="1:374" x14ac:dyDescent="0.45">
      <c r="A40" s="272"/>
      <c r="B40" s="12" t="s">
        <v>296</v>
      </c>
    </row>
    <row r="41" spans="1:374" x14ac:dyDescent="0.45">
      <c r="B41" t="s">
        <v>318</v>
      </c>
    </row>
    <row r="42" spans="1:374" x14ac:dyDescent="0.45">
      <c r="B42" t="s">
        <v>298</v>
      </c>
      <c r="FF42" s="14">
        <v>0.70040000000000002</v>
      </c>
    </row>
    <row r="43" spans="1:374" x14ac:dyDescent="0.45">
      <c r="B43" t="s">
        <v>299</v>
      </c>
      <c r="CO43" s="14">
        <v>-0.73919999999999997</v>
      </c>
      <c r="CP43" s="14">
        <v>-0.73919999999999997</v>
      </c>
      <c r="CQ43" s="14">
        <v>-0.73919999999999997</v>
      </c>
      <c r="CR43" s="14">
        <v>-0.73919999999999997</v>
      </c>
      <c r="CS43" s="14">
        <v>-0.73919999999999997</v>
      </c>
      <c r="CT43" s="15">
        <v>-0.73919999999999997</v>
      </c>
      <c r="CU43" s="14">
        <v>-0.73919999999999997</v>
      </c>
      <c r="CV43" s="14">
        <v>-0.73919999999999997</v>
      </c>
      <c r="CW43" s="14">
        <v>-0.73919999999999997</v>
      </c>
      <c r="CX43" s="14">
        <v>-0.73919999999999997</v>
      </c>
      <c r="CY43" s="14">
        <v>-0.73919999999999997</v>
      </c>
      <c r="CZ43" s="15">
        <v>-0.73919999999999997</v>
      </c>
      <c r="KQ43" s="14">
        <v>-0.51129999999999998</v>
      </c>
      <c r="KR43" s="14">
        <v>-0.51129999999999998</v>
      </c>
      <c r="KS43" s="14">
        <v>-0.51129999999999998</v>
      </c>
      <c r="KU43" s="14">
        <v>-0.51129999999999998</v>
      </c>
      <c r="KV43" s="15">
        <v>-0.51129999999999998</v>
      </c>
      <c r="LI43" s="122"/>
      <c r="LJ43" s="122"/>
      <c r="LK43" s="122"/>
      <c r="LL43" s="122"/>
      <c r="LM43" s="122"/>
      <c r="LN43" s="121"/>
    </row>
    <row r="44" spans="1:374" x14ac:dyDescent="0.45">
      <c r="B44" t="s">
        <v>300</v>
      </c>
      <c r="LI44" s="32"/>
      <c r="LJ44" s="32"/>
      <c r="LK44" s="32"/>
      <c r="LL44" s="32"/>
      <c r="LM44" s="32"/>
      <c r="LN44" s="31"/>
    </row>
    <row r="45" spans="1:374" x14ac:dyDescent="0.45">
      <c r="B45" s="17" t="s">
        <v>301</v>
      </c>
      <c r="GG45" s="14">
        <v>0.2112</v>
      </c>
      <c r="GH45" s="14">
        <v>0.4224</v>
      </c>
      <c r="GI45" s="14">
        <v>0.4224</v>
      </c>
      <c r="GJ45" s="14">
        <v>0.2112</v>
      </c>
      <c r="GK45" s="14">
        <v>0.4224</v>
      </c>
      <c r="GL45" s="15">
        <v>0.4224</v>
      </c>
      <c r="GM45" s="14">
        <v>0.2112</v>
      </c>
      <c r="GN45" s="14">
        <v>0.4224</v>
      </c>
      <c r="GO45" s="14">
        <v>0.4224</v>
      </c>
      <c r="GP45" s="14">
        <v>0.2112</v>
      </c>
      <c r="GQ45" s="14">
        <v>0.4224</v>
      </c>
      <c r="GR45" s="15">
        <v>0.4224</v>
      </c>
      <c r="MS45" s="14">
        <v>0.62639999999999996</v>
      </c>
      <c r="MT45" s="14">
        <v>0.62639999999999996</v>
      </c>
      <c r="MU45" s="14">
        <v>0.62639999999999996</v>
      </c>
      <c r="MV45" s="14">
        <v>0.62639999999999996</v>
      </c>
      <c r="MW45" s="14">
        <v>0.62639999999999996</v>
      </c>
      <c r="MX45" s="15">
        <v>0.62639999999999996</v>
      </c>
    </row>
    <row r="46" spans="1:374" x14ac:dyDescent="0.45">
      <c r="B46" s="17" t="s">
        <v>302</v>
      </c>
      <c r="D46" s="14">
        <v>0.48</v>
      </c>
      <c r="E46" s="14">
        <v>0.48</v>
      </c>
      <c r="G46" s="14">
        <v>0.48</v>
      </c>
      <c r="H46" s="15">
        <v>0.48</v>
      </c>
      <c r="CO46" s="14">
        <v>6.9099999999999995E-2</v>
      </c>
      <c r="CP46" s="14">
        <v>6.9099999999999995E-2</v>
      </c>
      <c r="CQ46" s="14">
        <v>6.9099999999999995E-2</v>
      </c>
      <c r="CR46" s="14">
        <v>6.9099999999999995E-2</v>
      </c>
      <c r="CS46" s="14">
        <v>6.9099999999999995E-2</v>
      </c>
      <c r="CT46" s="15">
        <v>6.9099999999999995E-2</v>
      </c>
      <c r="CU46" s="14">
        <v>6.9099999999999995E-2</v>
      </c>
      <c r="CV46" s="14">
        <v>6.9099999999999995E-2</v>
      </c>
      <c r="CW46" s="14">
        <v>6.9099999999999995E-2</v>
      </c>
      <c r="CX46" s="14">
        <v>6.9099999999999995E-2</v>
      </c>
      <c r="CY46" s="14">
        <v>6.9099999999999995E-2</v>
      </c>
      <c r="CZ46" s="15">
        <v>6.9099999999999995E-2</v>
      </c>
    </row>
    <row r="47" spans="1:374" x14ac:dyDescent="0.45">
      <c r="B47" s="15" t="s">
        <v>303</v>
      </c>
      <c r="D47" s="14">
        <v>1.0062</v>
      </c>
      <c r="E47" s="14">
        <v>1.0062</v>
      </c>
      <c r="BE47" s="14">
        <v>3.0800000000000001E-2</v>
      </c>
      <c r="BF47" s="14">
        <v>3.0800000000000001E-2</v>
      </c>
      <c r="BG47" s="14">
        <v>3.0800000000000001E-2</v>
      </c>
      <c r="BH47" s="14">
        <v>3.0800000000000001E-2</v>
      </c>
      <c r="BI47" s="14">
        <v>3.0800000000000001E-2</v>
      </c>
      <c r="BJ47" s="15">
        <v>3.0800000000000001E-2</v>
      </c>
      <c r="FO47" s="14">
        <f>3.57%*5</f>
        <v>0.17849999999999999</v>
      </c>
      <c r="FP47" s="14">
        <f>3.57%*5</f>
        <v>0.17849999999999999</v>
      </c>
      <c r="FQ47" s="14">
        <f>3.57%*5</f>
        <v>0.17849999999999999</v>
      </c>
      <c r="FR47" s="14">
        <f>3.57%*5</f>
        <v>0.17849999999999999</v>
      </c>
      <c r="FS47" s="14">
        <f>3.57%*5</f>
        <v>0.17849999999999999</v>
      </c>
      <c r="FT47" s="15">
        <v>0.17849999999999999</v>
      </c>
      <c r="FU47" s="14">
        <f>3.57%*5</f>
        <v>0.17849999999999999</v>
      </c>
      <c r="FV47" s="14">
        <f>3.57%*5</f>
        <v>0.17849999999999999</v>
      </c>
      <c r="FW47" s="14">
        <f>3.57%*5</f>
        <v>0.17849999999999999</v>
      </c>
      <c r="FX47" s="14">
        <f>3.57%*5</f>
        <v>0.17849999999999999</v>
      </c>
      <c r="FY47" s="14">
        <f>3.57%*5</f>
        <v>0.17849999999999999</v>
      </c>
      <c r="FZ47" s="15">
        <v>0.17849999999999999</v>
      </c>
      <c r="KX47" s="14">
        <v>1.0002</v>
      </c>
      <c r="KY47" s="14">
        <v>1.0002</v>
      </c>
      <c r="LA47" s="14">
        <v>1.0002</v>
      </c>
      <c r="LB47" s="15">
        <v>1.0002</v>
      </c>
      <c r="MN47" s="14">
        <v>0.59089999999999998</v>
      </c>
      <c r="MO47" s="14">
        <v>0.59089999999999998</v>
      </c>
    </row>
    <row r="48" spans="1:374" x14ac:dyDescent="0.45">
      <c r="B48" s="15" t="s">
        <v>304</v>
      </c>
    </row>
    <row r="49" spans="1:374" x14ac:dyDescent="0.45">
      <c r="BL49" s="14">
        <v>1</v>
      </c>
      <c r="BM49" s="14">
        <v>1</v>
      </c>
    </row>
    <row r="52" spans="1:374" s="40" customFormat="1" ht="17.5" thickBot="1" x14ac:dyDescent="0.5">
      <c r="B52" s="41"/>
      <c r="C52" s="112" t="str">
        <f>C1</f>
        <v>라피</v>
      </c>
      <c r="H52" s="41"/>
      <c r="I52" s="113" t="str">
        <f>I1</f>
        <v>흑련(앨)</v>
      </c>
      <c r="N52" s="41"/>
      <c r="O52" s="113" t="str">
        <f>O1</f>
        <v>흑련</v>
      </c>
      <c r="T52" s="41"/>
      <c r="U52" s="113" t="str">
        <f>U1</f>
        <v>신데렐라</v>
      </c>
      <c r="Z52" s="41"/>
      <c r="AA52" s="113" t="str">
        <f>AA1</f>
        <v>미하라</v>
      </c>
      <c r="AF52" s="41"/>
      <c r="AG52" s="113" t="str">
        <f>AG1</f>
        <v>미하라(미)</v>
      </c>
      <c r="AL52" s="41"/>
      <c r="AM52" s="113" t="str">
        <f>AM1</f>
        <v>미하라(토템)</v>
      </c>
      <c r="AR52" s="41"/>
      <c r="AS52" s="113" t="str">
        <f>AS1</f>
        <v>수로시</v>
      </c>
      <c r="AX52" s="41"/>
      <c r="AY52" s="113" t="str">
        <f>AY1</f>
        <v>수로시(레오나)</v>
      </c>
      <c r="BD52" s="41"/>
      <c r="BE52" s="113" t="str">
        <f>BE1</f>
        <v>헬름</v>
      </c>
      <c r="BJ52" s="41"/>
      <c r="BK52" s="113" t="str">
        <f>BK1</f>
        <v>레드후드</v>
      </c>
      <c r="BP52" s="41"/>
      <c r="BQ52" s="113" t="str">
        <f>BQ1</f>
        <v>앨리스</v>
      </c>
      <c r="BV52" s="41"/>
      <c r="BW52" s="113" t="str">
        <f>BW1</f>
        <v>이사벨</v>
      </c>
      <c r="CB52" s="41"/>
      <c r="CC52" s="113" t="str">
        <f>CC1</f>
        <v>클루드</v>
      </c>
      <c r="CH52" s="41"/>
      <c r="CI52" s="113" t="str">
        <f>CI1</f>
        <v>드레이크</v>
      </c>
      <c r="CN52" s="41"/>
      <c r="CO52" s="113" t="str">
        <f>CO1</f>
        <v>수니스</v>
      </c>
      <c r="CT52" s="41"/>
      <c r="CU52" s="113" t="str">
        <f>CU1</f>
        <v>수니스(프바)</v>
      </c>
      <c r="CZ52" s="41"/>
      <c r="DA52" s="113" t="str">
        <f>DA1</f>
        <v>아인</v>
      </c>
      <c r="DF52" s="41"/>
      <c r="DG52" s="113" t="str">
        <f>DG1</f>
        <v>아인(미)</v>
      </c>
      <c r="DL52" s="41"/>
      <c r="DM52" s="113" t="str">
        <f>DM1</f>
        <v>홍련</v>
      </c>
      <c r="DR52" s="41"/>
      <c r="DS52" s="113" t="str">
        <f>DS1</f>
        <v>모더니아</v>
      </c>
      <c r="DX52" s="41"/>
      <c r="DY52" s="113" t="str">
        <f>DY1</f>
        <v>클이든</v>
      </c>
      <c r="ED52" s="41"/>
      <c r="EE52" s="113" t="str">
        <f>EE1</f>
        <v>클이든(토템)</v>
      </c>
      <c r="EJ52" s="41"/>
      <c r="EK52" s="113" t="str">
        <f>EK1</f>
        <v>엑시아</v>
      </c>
      <c r="EP52" s="41"/>
      <c r="EQ52" s="113" t="str">
        <f>EQ1</f>
        <v>메프바</v>
      </c>
      <c r="EV52" s="41"/>
      <c r="EW52" s="113" t="str">
        <f>EW1</f>
        <v>메프바(레오나)</v>
      </c>
      <c r="FB52" s="41"/>
      <c r="FC52" s="113" t="str">
        <f>FC1</f>
        <v>마나</v>
      </c>
      <c r="FH52" s="41"/>
      <c r="FI52" s="113" t="str">
        <f>FI1</f>
        <v>율리아</v>
      </c>
      <c r="FN52" s="41"/>
      <c r="FO52" s="113" t="str">
        <f>FO1</f>
        <v>라플라스</v>
      </c>
      <c r="FT52" s="41"/>
      <c r="FU52" s="113" t="str">
        <f>FU1</f>
        <v>라플라스(파츠)</v>
      </c>
      <c r="FZ52" s="41"/>
      <c r="GA52" s="113" t="str">
        <f>GA1</f>
        <v>이브</v>
      </c>
      <c r="GF52" s="41"/>
      <c r="GG52" s="113" t="str">
        <f>GG1</f>
        <v>레이븐</v>
      </c>
      <c r="GL52" s="41"/>
      <c r="GM52" s="113" t="str">
        <f>GM1</f>
        <v>레이븐(파츠)</v>
      </c>
      <c r="GR52" s="41"/>
      <c r="GS52" s="113" t="str">
        <f>GS1</f>
        <v>스화</v>
      </c>
      <c r="GX52" s="41"/>
      <c r="GY52" s="113" t="str">
        <f>GY1</f>
        <v>맥스웰</v>
      </c>
      <c r="HD52" s="41"/>
      <c r="HE52" s="113" t="str">
        <f>HE1</f>
        <v>바밀크</v>
      </c>
      <c r="HJ52" s="41"/>
      <c r="HK52" s="113" t="str">
        <f>HK1</f>
        <v>수레그</v>
      </c>
      <c r="HP52" s="41"/>
      <c r="HQ52" s="113" t="str">
        <f>HQ1</f>
        <v>클드밀라</v>
      </c>
      <c r="HV52" s="41"/>
      <c r="HW52" s="113" t="str">
        <f>HW1</f>
        <v>수쿠라</v>
      </c>
      <c r="IB52" s="41"/>
      <c r="IC52" s="113" t="str">
        <f>IC1</f>
        <v>수쿠라(파츠)</v>
      </c>
      <c r="IH52" s="41"/>
      <c r="II52" s="113" t="str">
        <f>II1</f>
        <v>퀸시</v>
      </c>
      <c r="IN52" s="41"/>
      <c r="IO52" s="113" t="str">
        <f>IO1</f>
        <v>팬텀</v>
      </c>
      <c r="IT52" s="41"/>
      <c r="IU52" s="113" t="str">
        <f>IU1</f>
        <v>클로틴</v>
      </c>
      <c r="IZ52" s="41"/>
      <c r="JA52" s="113" t="str">
        <f>JA1</f>
        <v>브래디</v>
      </c>
      <c r="JF52" s="41"/>
      <c r="JG52" s="113" t="str">
        <f>JG1</f>
        <v>브래디(지속)</v>
      </c>
      <c r="JL52" s="41"/>
      <c r="JM52" s="113" t="str">
        <f>JM1</f>
        <v>바소다</v>
      </c>
      <c r="JR52" s="41"/>
      <c r="JS52" s="113" t="str">
        <f>JS1</f>
        <v>에이다</v>
      </c>
      <c r="JX52" s="41"/>
      <c r="JY52" s="113" t="str">
        <f>JY1</f>
        <v>에이다(미)</v>
      </c>
      <c r="KD52" s="41"/>
      <c r="KE52" s="113" t="str">
        <f>KE1</f>
        <v>질</v>
      </c>
      <c r="KJ52" s="41"/>
      <c r="KK52" s="113" t="str">
        <f>KK1</f>
        <v>길로틴</v>
      </c>
      <c r="KP52" s="41"/>
      <c r="KQ52" s="113" t="str">
        <f>KQ1</f>
        <v>케이</v>
      </c>
      <c r="KV52" s="41"/>
      <c r="KW52" s="113" t="str">
        <f>KW1</f>
        <v>라피(1버)</v>
      </c>
      <c r="LB52" s="41"/>
      <c r="LC52" s="113" t="str">
        <f>LC1</f>
        <v>나유타</v>
      </c>
      <c r="LH52" s="41"/>
      <c r="LI52" s="113" t="str">
        <f>LI1</f>
        <v>크라운</v>
      </c>
      <c r="LN52" s="41"/>
      <c r="LO52" s="113" t="str">
        <f>LO1</f>
        <v>리버</v>
      </c>
      <c r="LT52" s="41"/>
      <c r="LU52" s="113" t="str">
        <f>LU1</f>
        <v>디젤</v>
      </c>
      <c r="LZ52" s="41"/>
      <c r="MA52" s="113" t="str">
        <f>MA1</f>
        <v>브리드</v>
      </c>
      <c r="MF52" s="41"/>
      <c r="MG52" s="113" t="str">
        <f>MG1</f>
        <v>그레이브</v>
      </c>
      <c r="ML52" s="41"/>
      <c r="MM52" s="113" t="str">
        <f>MM1</f>
        <v>베스티</v>
      </c>
      <c r="MR52" s="41"/>
      <c r="MS52" s="113" t="str">
        <f>MS1</f>
        <v>헤스화</v>
      </c>
      <c r="MX52" s="41"/>
      <c r="MY52" s="113" t="str">
        <f>MY1</f>
        <v>아니스</v>
      </c>
      <c r="ND52" s="41"/>
      <c r="NE52" s="113">
        <f>NE1</f>
        <v>0</v>
      </c>
      <c r="NJ52" s="41"/>
    </row>
    <row r="53" spans="1:374" x14ac:dyDescent="0.45">
      <c r="B53" s="15" t="s">
        <v>373</v>
      </c>
      <c r="C53" s="14" t="s">
        <v>368</v>
      </c>
      <c r="D53" s="14" t="s">
        <v>374</v>
      </c>
      <c r="E53" s="14" t="s">
        <v>61</v>
      </c>
      <c r="F53" s="14" t="s">
        <v>62</v>
      </c>
      <c r="G53" s="14" t="s">
        <v>63</v>
      </c>
      <c r="H53" s="15" t="s">
        <v>64</v>
      </c>
      <c r="I53" s="14" t="s">
        <v>368</v>
      </c>
      <c r="J53" s="14" t="s">
        <v>374</v>
      </c>
      <c r="K53" s="14" t="s">
        <v>61</v>
      </c>
      <c r="L53" s="14" t="s">
        <v>62</v>
      </c>
      <c r="M53" s="14" t="s">
        <v>63</v>
      </c>
      <c r="N53" s="15" t="s">
        <v>64</v>
      </c>
      <c r="O53" s="14" t="s">
        <v>368</v>
      </c>
      <c r="P53" s="14" t="s">
        <v>374</v>
      </c>
      <c r="Q53" s="14" t="s">
        <v>61</v>
      </c>
      <c r="R53" s="14" t="s">
        <v>62</v>
      </c>
      <c r="S53" s="14" t="s">
        <v>63</v>
      </c>
      <c r="T53" s="15" t="s">
        <v>64</v>
      </c>
      <c r="U53" s="14" t="s">
        <v>368</v>
      </c>
      <c r="V53" s="14" t="s">
        <v>374</v>
      </c>
      <c r="W53" s="14" t="s">
        <v>61</v>
      </c>
      <c r="X53" s="14" t="s">
        <v>62</v>
      </c>
      <c r="Y53" s="14" t="s">
        <v>63</v>
      </c>
      <c r="Z53" s="15" t="s">
        <v>64</v>
      </c>
      <c r="AA53" s="14" t="s">
        <v>368</v>
      </c>
      <c r="AB53" s="14" t="s">
        <v>374</v>
      </c>
      <c r="AC53" s="14" t="s">
        <v>61</v>
      </c>
      <c r="AD53" s="14" t="s">
        <v>62</v>
      </c>
      <c r="AE53" s="14" t="s">
        <v>63</v>
      </c>
      <c r="AF53" s="15" t="s">
        <v>64</v>
      </c>
      <c r="AG53" s="14" t="s">
        <v>368</v>
      </c>
      <c r="AH53" s="14" t="s">
        <v>374</v>
      </c>
      <c r="AI53" s="14" t="s">
        <v>61</v>
      </c>
      <c r="AJ53" s="14" t="s">
        <v>62</v>
      </c>
      <c r="AK53" s="14" t="s">
        <v>63</v>
      </c>
      <c r="AL53" s="15" t="s">
        <v>64</v>
      </c>
      <c r="AM53" s="14" t="s">
        <v>368</v>
      </c>
      <c r="AN53" s="14" t="s">
        <v>374</v>
      </c>
      <c r="AO53" s="14" t="s">
        <v>61</v>
      </c>
      <c r="AP53" s="14" t="s">
        <v>62</v>
      </c>
      <c r="AQ53" s="14" t="s">
        <v>63</v>
      </c>
      <c r="AR53" s="15" t="s">
        <v>64</v>
      </c>
      <c r="AS53" s="14" t="s">
        <v>368</v>
      </c>
      <c r="AT53" s="14" t="s">
        <v>374</v>
      </c>
      <c r="AU53" s="14" t="s">
        <v>61</v>
      </c>
      <c r="AV53" s="14" t="s">
        <v>62</v>
      </c>
      <c r="AW53" s="14" t="s">
        <v>63</v>
      </c>
      <c r="AX53" s="15" t="s">
        <v>64</v>
      </c>
      <c r="AY53" s="14" t="s">
        <v>368</v>
      </c>
      <c r="AZ53" s="14" t="s">
        <v>374</v>
      </c>
      <c r="BA53" s="14" t="s">
        <v>61</v>
      </c>
      <c r="BB53" s="14" t="s">
        <v>62</v>
      </c>
      <c r="BC53" s="14" t="s">
        <v>63</v>
      </c>
      <c r="BD53" s="15" t="s">
        <v>64</v>
      </c>
      <c r="BE53" s="14" t="s">
        <v>368</v>
      </c>
      <c r="BF53" s="14" t="s">
        <v>374</v>
      </c>
      <c r="BG53" s="14" t="s">
        <v>61</v>
      </c>
      <c r="BH53" s="14" t="s">
        <v>62</v>
      </c>
      <c r="BI53" s="14" t="s">
        <v>63</v>
      </c>
      <c r="BJ53" s="15" t="s">
        <v>64</v>
      </c>
      <c r="BK53" s="14" t="s">
        <v>368</v>
      </c>
      <c r="BL53" s="14" t="s">
        <v>374</v>
      </c>
      <c r="BM53" s="14" t="s">
        <v>61</v>
      </c>
      <c r="BN53" s="14" t="s">
        <v>62</v>
      </c>
      <c r="BO53" s="14" t="s">
        <v>63</v>
      </c>
      <c r="BP53" s="15" t="s">
        <v>64</v>
      </c>
      <c r="BQ53" s="14" t="s">
        <v>368</v>
      </c>
      <c r="BR53" s="14" t="s">
        <v>374</v>
      </c>
      <c r="BS53" s="14" t="s">
        <v>61</v>
      </c>
      <c r="BT53" s="14" t="s">
        <v>62</v>
      </c>
      <c r="BU53" s="14" t="s">
        <v>63</v>
      </c>
      <c r="BV53" s="15" t="s">
        <v>64</v>
      </c>
      <c r="BW53" s="14" t="s">
        <v>368</v>
      </c>
      <c r="BX53" s="14" t="s">
        <v>374</v>
      </c>
      <c r="BY53" s="14" t="s">
        <v>61</v>
      </c>
      <c r="BZ53" s="14" t="s">
        <v>62</v>
      </c>
      <c r="CA53" s="14" t="s">
        <v>63</v>
      </c>
      <c r="CB53" s="15" t="s">
        <v>64</v>
      </c>
      <c r="CC53" s="14" t="s">
        <v>368</v>
      </c>
      <c r="CD53" s="14" t="s">
        <v>374</v>
      </c>
      <c r="CE53" s="14" t="s">
        <v>61</v>
      </c>
      <c r="CF53" s="14" t="s">
        <v>62</v>
      </c>
      <c r="CG53" s="14" t="s">
        <v>63</v>
      </c>
      <c r="CH53" s="15" t="s">
        <v>64</v>
      </c>
      <c r="CI53" s="14" t="s">
        <v>368</v>
      </c>
      <c r="CJ53" s="14" t="s">
        <v>374</v>
      </c>
      <c r="CK53" s="14" t="s">
        <v>61</v>
      </c>
      <c r="CL53" s="14" t="s">
        <v>62</v>
      </c>
      <c r="CM53" s="14" t="s">
        <v>63</v>
      </c>
      <c r="CN53" s="15" t="s">
        <v>64</v>
      </c>
      <c r="CO53" s="14" t="s">
        <v>368</v>
      </c>
      <c r="CP53" s="14" t="s">
        <v>374</v>
      </c>
      <c r="CQ53" s="14" t="s">
        <v>61</v>
      </c>
      <c r="CR53" s="14" t="s">
        <v>62</v>
      </c>
      <c r="CS53" s="14" t="s">
        <v>63</v>
      </c>
      <c r="CT53" s="15" t="s">
        <v>64</v>
      </c>
      <c r="CU53" s="14" t="s">
        <v>368</v>
      </c>
      <c r="CV53" s="14" t="s">
        <v>374</v>
      </c>
      <c r="CW53" s="14" t="s">
        <v>61</v>
      </c>
      <c r="CX53" s="14" t="s">
        <v>62</v>
      </c>
      <c r="CY53" s="14" t="s">
        <v>63</v>
      </c>
      <c r="CZ53" s="15" t="s">
        <v>64</v>
      </c>
      <c r="DA53" s="14" t="s">
        <v>368</v>
      </c>
      <c r="DB53" s="14" t="s">
        <v>374</v>
      </c>
      <c r="DC53" s="14" t="s">
        <v>61</v>
      </c>
      <c r="DD53" s="14" t="s">
        <v>62</v>
      </c>
      <c r="DE53" s="14" t="s">
        <v>63</v>
      </c>
      <c r="DF53" s="15" t="s">
        <v>64</v>
      </c>
      <c r="DG53" s="14" t="s">
        <v>368</v>
      </c>
      <c r="DH53" s="14" t="s">
        <v>374</v>
      </c>
      <c r="DI53" s="14" t="s">
        <v>61</v>
      </c>
      <c r="DJ53" s="14" t="s">
        <v>62</v>
      </c>
      <c r="DK53" s="14" t="s">
        <v>63</v>
      </c>
      <c r="DL53" s="15" t="s">
        <v>64</v>
      </c>
      <c r="DM53" s="14" t="s">
        <v>368</v>
      </c>
      <c r="DN53" s="14" t="s">
        <v>374</v>
      </c>
      <c r="DO53" s="14" t="s">
        <v>61</v>
      </c>
      <c r="DP53" s="14" t="s">
        <v>62</v>
      </c>
      <c r="DQ53" s="14" t="s">
        <v>63</v>
      </c>
      <c r="DR53" s="15" t="s">
        <v>64</v>
      </c>
      <c r="DS53" s="14" t="s">
        <v>368</v>
      </c>
      <c r="DT53" s="14" t="s">
        <v>374</v>
      </c>
      <c r="DU53" s="14" t="s">
        <v>61</v>
      </c>
      <c r="DV53" s="14" t="s">
        <v>62</v>
      </c>
      <c r="DW53" s="14" t="s">
        <v>63</v>
      </c>
      <c r="DX53" s="15" t="s">
        <v>64</v>
      </c>
      <c r="DY53" s="14" t="s">
        <v>368</v>
      </c>
      <c r="DZ53" s="14" t="s">
        <v>374</v>
      </c>
      <c r="EA53" s="14" t="s">
        <v>61</v>
      </c>
      <c r="EB53" s="14" t="s">
        <v>62</v>
      </c>
      <c r="EC53" s="14" t="s">
        <v>63</v>
      </c>
      <c r="ED53" s="15" t="s">
        <v>64</v>
      </c>
      <c r="EE53" s="14" t="s">
        <v>368</v>
      </c>
      <c r="EF53" s="14" t="s">
        <v>374</v>
      </c>
      <c r="EG53" s="14" t="s">
        <v>61</v>
      </c>
      <c r="EH53" s="14" t="s">
        <v>62</v>
      </c>
      <c r="EI53" s="14" t="s">
        <v>63</v>
      </c>
      <c r="EJ53" s="15" t="s">
        <v>64</v>
      </c>
      <c r="EK53" s="14" t="s">
        <v>368</v>
      </c>
      <c r="EL53" s="14" t="s">
        <v>374</v>
      </c>
      <c r="EM53" s="14" t="s">
        <v>61</v>
      </c>
      <c r="EN53" s="14" t="s">
        <v>62</v>
      </c>
      <c r="EO53" s="14" t="s">
        <v>63</v>
      </c>
      <c r="EP53" s="15" t="s">
        <v>64</v>
      </c>
      <c r="EQ53" s="14" t="s">
        <v>368</v>
      </c>
      <c r="ER53" s="14" t="s">
        <v>374</v>
      </c>
      <c r="ES53" s="14" t="s">
        <v>61</v>
      </c>
      <c r="ET53" s="14" t="s">
        <v>62</v>
      </c>
      <c r="EU53" s="14" t="s">
        <v>63</v>
      </c>
      <c r="EV53" s="15" t="s">
        <v>64</v>
      </c>
      <c r="EW53" s="14" t="s">
        <v>368</v>
      </c>
      <c r="EX53" s="14" t="s">
        <v>374</v>
      </c>
      <c r="EY53" s="14" t="s">
        <v>61</v>
      </c>
      <c r="EZ53" s="14" t="s">
        <v>62</v>
      </c>
      <c r="FA53" s="14" t="s">
        <v>63</v>
      </c>
      <c r="FB53" s="15" t="s">
        <v>64</v>
      </c>
      <c r="FC53" s="14" t="s">
        <v>368</v>
      </c>
      <c r="FD53" s="14" t="s">
        <v>374</v>
      </c>
      <c r="FE53" s="14" t="s">
        <v>61</v>
      </c>
      <c r="FF53" s="14" t="s">
        <v>62</v>
      </c>
      <c r="FG53" s="14" t="s">
        <v>63</v>
      </c>
      <c r="FH53" s="15" t="s">
        <v>64</v>
      </c>
      <c r="FI53" s="14" t="s">
        <v>368</v>
      </c>
      <c r="FJ53" s="14" t="s">
        <v>374</v>
      </c>
      <c r="FK53" s="14" t="s">
        <v>61</v>
      </c>
      <c r="FL53" s="14" t="s">
        <v>62</v>
      </c>
      <c r="FM53" s="14" t="s">
        <v>63</v>
      </c>
      <c r="FN53" s="15" t="s">
        <v>64</v>
      </c>
      <c r="FO53" s="14" t="s">
        <v>368</v>
      </c>
      <c r="FP53" s="14" t="s">
        <v>374</v>
      </c>
      <c r="FQ53" s="14" t="s">
        <v>61</v>
      </c>
      <c r="FR53" s="14" t="s">
        <v>62</v>
      </c>
      <c r="FS53" s="14" t="s">
        <v>63</v>
      </c>
      <c r="FT53" s="15" t="s">
        <v>64</v>
      </c>
      <c r="FU53" s="14" t="s">
        <v>368</v>
      </c>
      <c r="FV53" s="14" t="s">
        <v>374</v>
      </c>
      <c r="FW53" s="14" t="s">
        <v>61</v>
      </c>
      <c r="FX53" s="14" t="s">
        <v>62</v>
      </c>
      <c r="FY53" s="14" t="s">
        <v>63</v>
      </c>
      <c r="FZ53" s="15" t="s">
        <v>64</v>
      </c>
      <c r="GA53" s="14" t="s">
        <v>368</v>
      </c>
      <c r="GB53" s="14" t="s">
        <v>374</v>
      </c>
      <c r="GC53" s="14" t="s">
        <v>61</v>
      </c>
      <c r="GD53" s="14" t="s">
        <v>62</v>
      </c>
      <c r="GE53" s="14" t="s">
        <v>63</v>
      </c>
      <c r="GF53" s="15" t="s">
        <v>64</v>
      </c>
      <c r="GG53" s="14" t="s">
        <v>368</v>
      </c>
      <c r="GH53" s="14" t="s">
        <v>374</v>
      </c>
      <c r="GI53" s="14" t="s">
        <v>61</v>
      </c>
      <c r="GJ53" s="14" t="s">
        <v>62</v>
      </c>
      <c r="GK53" s="14" t="s">
        <v>63</v>
      </c>
      <c r="GL53" s="15" t="s">
        <v>64</v>
      </c>
      <c r="GM53" s="14" t="s">
        <v>368</v>
      </c>
      <c r="GN53" s="14" t="s">
        <v>374</v>
      </c>
      <c r="GO53" s="14" t="s">
        <v>61</v>
      </c>
      <c r="GP53" s="14" t="s">
        <v>62</v>
      </c>
      <c r="GQ53" s="14" t="s">
        <v>63</v>
      </c>
      <c r="GR53" s="15" t="s">
        <v>64</v>
      </c>
      <c r="GS53" s="14" t="s">
        <v>368</v>
      </c>
      <c r="GT53" s="14" t="s">
        <v>374</v>
      </c>
      <c r="GU53" s="14" t="s">
        <v>61</v>
      </c>
      <c r="GV53" s="14" t="s">
        <v>62</v>
      </c>
      <c r="GW53" s="14" t="s">
        <v>63</v>
      </c>
      <c r="GX53" s="15" t="s">
        <v>64</v>
      </c>
      <c r="GY53" s="14" t="s">
        <v>368</v>
      </c>
      <c r="GZ53" s="14" t="s">
        <v>374</v>
      </c>
      <c r="HA53" s="14" t="s">
        <v>61</v>
      </c>
      <c r="HB53" s="14" t="s">
        <v>62</v>
      </c>
      <c r="HC53" s="14" t="s">
        <v>63</v>
      </c>
      <c r="HD53" s="15" t="s">
        <v>64</v>
      </c>
      <c r="HE53" s="14" t="s">
        <v>368</v>
      </c>
      <c r="HF53" s="14" t="s">
        <v>374</v>
      </c>
      <c r="HG53" s="14" t="s">
        <v>61</v>
      </c>
      <c r="HH53" s="14" t="s">
        <v>62</v>
      </c>
      <c r="HI53" s="14" t="s">
        <v>63</v>
      </c>
      <c r="HJ53" s="15" t="s">
        <v>64</v>
      </c>
      <c r="HK53" s="14" t="s">
        <v>368</v>
      </c>
      <c r="HL53" s="14" t="s">
        <v>374</v>
      </c>
      <c r="HM53" s="14" t="s">
        <v>61</v>
      </c>
      <c r="HN53" s="14" t="s">
        <v>62</v>
      </c>
      <c r="HO53" s="14" t="s">
        <v>63</v>
      </c>
      <c r="HP53" s="15" t="s">
        <v>64</v>
      </c>
      <c r="HQ53" s="14" t="s">
        <v>368</v>
      </c>
      <c r="HR53" s="14" t="s">
        <v>374</v>
      </c>
      <c r="HS53" s="14" t="s">
        <v>61</v>
      </c>
      <c r="HT53" s="14" t="s">
        <v>62</v>
      </c>
      <c r="HU53" s="14" t="s">
        <v>63</v>
      </c>
      <c r="HV53" s="15" t="s">
        <v>64</v>
      </c>
      <c r="HW53" s="14" t="s">
        <v>368</v>
      </c>
      <c r="HX53" s="14" t="s">
        <v>374</v>
      </c>
      <c r="HY53" s="14" t="s">
        <v>61</v>
      </c>
      <c r="HZ53" s="14" t="s">
        <v>62</v>
      </c>
      <c r="IA53" s="14" t="s">
        <v>63</v>
      </c>
      <c r="IB53" s="15" t="s">
        <v>64</v>
      </c>
      <c r="IC53" s="14" t="s">
        <v>368</v>
      </c>
      <c r="ID53" s="14" t="s">
        <v>374</v>
      </c>
      <c r="IE53" s="14" t="s">
        <v>61</v>
      </c>
      <c r="IF53" s="14" t="s">
        <v>62</v>
      </c>
      <c r="IG53" s="14" t="s">
        <v>63</v>
      </c>
      <c r="IH53" s="15" t="s">
        <v>64</v>
      </c>
      <c r="II53" s="14" t="s">
        <v>368</v>
      </c>
      <c r="IJ53" s="14" t="s">
        <v>374</v>
      </c>
      <c r="IK53" s="14" t="s">
        <v>61</v>
      </c>
      <c r="IL53" s="14" t="s">
        <v>62</v>
      </c>
      <c r="IM53" s="14" t="s">
        <v>63</v>
      </c>
      <c r="IN53" s="15" t="s">
        <v>64</v>
      </c>
      <c r="IO53" s="14" t="s">
        <v>368</v>
      </c>
      <c r="IP53" s="14" t="s">
        <v>374</v>
      </c>
      <c r="IQ53" s="14" t="s">
        <v>61</v>
      </c>
      <c r="IR53" s="14" t="s">
        <v>62</v>
      </c>
      <c r="IS53" s="14" t="s">
        <v>63</v>
      </c>
      <c r="IT53" s="15" t="s">
        <v>64</v>
      </c>
      <c r="IU53" s="14" t="s">
        <v>368</v>
      </c>
      <c r="IV53" s="14" t="s">
        <v>374</v>
      </c>
      <c r="IW53" s="14" t="s">
        <v>61</v>
      </c>
      <c r="IX53" s="14" t="s">
        <v>62</v>
      </c>
      <c r="IY53" s="14" t="s">
        <v>63</v>
      </c>
      <c r="IZ53" s="15" t="s">
        <v>64</v>
      </c>
      <c r="JA53" s="14" t="s">
        <v>368</v>
      </c>
      <c r="JB53" s="14" t="s">
        <v>374</v>
      </c>
      <c r="JC53" s="14" t="s">
        <v>61</v>
      </c>
      <c r="JD53" s="14" t="s">
        <v>62</v>
      </c>
      <c r="JE53" s="14" t="s">
        <v>63</v>
      </c>
      <c r="JF53" s="15" t="s">
        <v>64</v>
      </c>
      <c r="JG53" s="14" t="s">
        <v>368</v>
      </c>
      <c r="JH53" s="14" t="s">
        <v>374</v>
      </c>
      <c r="JI53" s="14" t="s">
        <v>61</v>
      </c>
      <c r="JJ53" s="14" t="s">
        <v>62</v>
      </c>
      <c r="JK53" s="14" t="s">
        <v>63</v>
      </c>
      <c r="JL53" s="15" t="s">
        <v>64</v>
      </c>
      <c r="JM53" s="14" t="s">
        <v>368</v>
      </c>
      <c r="JN53" s="14" t="s">
        <v>374</v>
      </c>
      <c r="JO53" s="14" t="s">
        <v>61</v>
      </c>
      <c r="JP53" s="14" t="s">
        <v>62</v>
      </c>
      <c r="JQ53" s="14" t="s">
        <v>63</v>
      </c>
      <c r="JR53" s="15" t="s">
        <v>64</v>
      </c>
      <c r="JS53" s="14" t="s">
        <v>368</v>
      </c>
      <c r="JT53" s="14" t="s">
        <v>374</v>
      </c>
      <c r="JU53" s="14" t="s">
        <v>61</v>
      </c>
      <c r="JV53" s="14" t="s">
        <v>62</v>
      </c>
      <c r="JW53" s="14" t="s">
        <v>63</v>
      </c>
      <c r="JX53" s="15" t="s">
        <v>64</v>
      </c>
      <c r="JY53" s="14" t="s">
        <v>368</v>
      </c>
      <c r="JZ53" s="14" t="s">
        <v>374</v>
      </c>
      <c r="KA53" s="14" t="s">
        <v>61</v>
      </c>
      <c r="KB53" s="14" t="s">
        <v>62</v>
      </c>
      <c r="KC53" s="14" t="s">
        <v>63</v>
      </c>
      <c r="KD53" s="15" t="s">
        <v>64</v>
      </c>
      <c r="KE53" s="14" t="s">
        <v>368</v>
      </c>
      <c r="KF53" s="14" t="s">
        <v>374</v>
      </c>
      <c r="KG53" s="14" t="s">
        <v>61</v>
      </c>
      <c r="KH53" s="14" t="s">
        <v>62</v>
      </c>
      <c r="KI53" s="14" t="s">
        <v>63</v>
      </c>
      <c r="KJ53" s="15" t="s">
        <v>64</v>
      </c>
      <c r="KK53" s="14" t="s">
        <v>368</v>
      </c>
      <c r="KL53" s="14" t="s">
        <v>374</v>
      </c>
      <c r="KM53" s="14" t="s">
        <v>61</v>
      </c>
      <c r="KN53" s="14" t="s">
        <v>62</v>
      </c>
      <c r="KO53" s="14" t="s">
        <v>63</v>
      </c>
      <c r="KP53" s="15" t="s">
        <v>64</v>
      </c>
      <c r="KQ53" s="14" t="s">
        <v>368</v>
      </c>
      <c r="KR53" s="14" t="s">
        <v>374</v>
      </c>
      <c r="KS53" s="14" t="s">
        <v>61</v>
      </c>
      <c r="KT53" s="14" t="s">
        <v>62</v>
      </c>
      <c r="KU53" s="14" t="s">
        <v>63</v>
      </c>
      <c r="KV53" s="15" t="s">
        <v>64</v>
      </c>
      <c r="KW53" s="14" t="s">
        <v>368</v>
      </c>
      <c r="KX53" s="14" t="s">
        <v>374</v>
      </c>
      <c r="KY53" s="14" t="s">
        <v>61</v>
      </c>
      <c r="KZ53" s="14" t="s">
        <v>62</v>
      </c>
      <c r="LA53" s="14" t="s">
        <v>63</v>
      </c>
      <c r="LB53" s="15" t="s">
        <v>64</v>
      </c>
      <c r="LC53" s="14" t="s">
        <v>368</v>
      </c>
      <c r="LD53" s="14" t="s">
        <v>374</v>
      </c>
      <c r="LE53" s="14" t="s">
        <v>61</v>
      </c>
      <c r="LF53" s="14" t="s">
        <v>62</v>
      </c>
      <c r="LG53" s="14" t="s">
        <v>63</v>
      </c>
      <c r="LH53" s="15" t="s">
        <v>64</v>
      </c>
      <c r="LI53" s="14" t="s">
        <v>368</v>
      </c>
      <c r="LJ53" s="14" t="s">
        <v>374</v>
      </c>
      <c r="LK53" s="14" t="s">
        <v>61</v>
      </c>
      <c r="LL53" s="14" t="s">
        <v>62</v>
      </c>
      <c r="LM53" s="14" t="s">
        <v>63</v>
      </c>
      <c r="LN53" s="15" t="s">
        <v>64</v>
      </c>
      <c r="LO53" s="14" t="s">
        <v>368</v>
      </c>
      <c r="LP53" s="14" t="s">
        <v>374</v>
      </c>
      <c r="LQ53" s="14" t="s">
        <v>61</v>
      </c>
      <c r="LR53" s="14" t="s">
        <v>62</v>
      </c>
      <c r="LS53" s="14" t="s">
        <v>63</v>
      </c>
      <c r="LT53" s="15" t="s">
        <v>64</v>
      </c>
      <c r="LU53" s="14" t="s">
        <v>368</v>
      </c>
      <c r="LV53" s="14" t="s">
        <v>374</v>
      </c>
      <c r="LW53" s="14" t="s">
        <v>61</v>
      </c>
      <c r="LX53" s="14" t="s">
        <v>62</v>
      </c>
      <c r="LY53" s="14" t="s">
        <v>63</v>
      </c>
      <c r="LZ53" s="15" t="s">
        <v>64</v>
      </c>
      <c r="MA53" s="14" t="s">
        <v>368</v>
      </c>
      <c r="MB53" s="14" t="s">
        <v>374</v>
      </c>
      <c r="MC53" s="14" t="s">
        <v>61</v>
      </c>
      <c r="MD53" s="14" t="s">
        <v>62</v>
      </c>
      <c r="ME53" s="14" t="s">
        <v>63</v>
      </c>
      <c r="MF53" s="15" t="s">
        <v>64</v>
      </c>
      <c r="MG53" s="14" t="s">
        <v>368</v>
      </c>
      <c r="MH53" s="14" t="s">
        <v>374</v>
      </c>
      <c r="MI53" s="14" t="s">
        <v>61</v>
      </c>
      <c r="MJ53" s="14" t="s">
        <v>62</v>
      </c>
      <c r="MK53" s="14" t="s">
        <v>63</v>
      </c>
      <c r="ML53" s="15" t="s">
        <v>64</v>
      </c>
      <c r="MM53" s="14" t="s">
        <v>368</v>
      </c>
      <c r="MN53" s="14" t="s">
        <v>374</v>
      </c>
      <c r="MO53" s="14" t="s">
        <v>61</v>
      </c>
      <c r="MP53" s="14" t="s">
        <v>62</v>
      </c>
      <c r="MQ53" s="14" t="s">
        <v>63</v>
      </c>
      <c r="MR53" s="15" t="s">
        <v>64</v>
      </c>
      <c r="MS53" s="14" t="s">
        <v>368</v>
      </c>
      <c r="MT53" s="14" t="s">
        <v>374</v>
      </c>
      <c r="MU53" s="14" t="s">
        <v>61</v>
      </c>
      <c r="MV53" s="14" t="s">
        <v>62</v>
      </c>
      <c r="MW53" s="14" t="s">
        <v>63</v>
      </c>
      <c r="MX53" s="15" t="s">
        <v>64</v>
      </c>
      <c r="MY53" s="14" t="s">
        <v>368</v>
      </c>
      <c r="MZ53" s="14" t="s">
        <v>374</v>
      </c>
      <c r="NA53" s="14" t="s">
        <v>61</v>
      </c>
      <c r="NB53" s="14" t="s">
        <v>62</v>
      </c>
      <c r="NC53" s="14" t="s">
        <v>63</v>
      </c>
      <c r="ND53" s="15" t="s">
        <v>64</v>
      </c>
      <c r="NE53" s="14" t="s">
        <v>368</v>
      </c>
      <c r="NF53" s="14" t="s">
        <v>374</v>
      </c>
      <c r="NG53" s="14" t="s">
        <v>61</v>
      </c>
      <c r="NH53" s="14" t="s">
        <v>62</v>
      </c>
      <c r="NI53" s="14" t="s">
        <v>63</v>
      </c>
      <c r="NJ53" s="15" t="s">
        <v>64</v>
      </c>
    </row>
    <row r="54" spans="1:374" s="114" customFormat="1" x14ac:dyDescent="0.45">
      <c r="A54" s="273" t="s">
        <v>375</v>
      </c>
      <c r="B54" s="114" t="s">
        <v>376</v>
      </c>
      <c r="C54" s="30"/>
      <c r="D54" s="30" t="s">
        <v>305</v>
      </c>
      <c r="E54" s="159" t="s">
        <v>159</v>
      </c>
      <c r="F54" s="30" t="s">
        <v>377</v>
      </c>
      <c r="G54" s="30" t="s">
        <v>378</v>
      </c>
      <c r="H54" s="36"/>
      <c r="I54" s="30"/>
      <c r="J54" s="30"/>
      <c r="K54" s="159" t="s">
        <v>159</v>
      </c>
      <c r="L54" s="30" t="s">
        <v>379</v>
      </c>
      <c r="M54" s="30" t="s">
        <v>380</v>
      </c>
      <c r="N54" s="36" t="s">
        <v>381</v>
      </c>
      <c r="O54" s="30"/>
      <c r="P54" s="30"/>
      <c r="Q54" s="159" t="s">
        <v>159</v>
      </c>
      <c r="R54" s="30" t="s">
        <v>379</v>
      </c>
      <c r="S54" s="30" t="s">
        <v>380</v>
      </c>
      <c r="T54" s="36" t="s">
        <v>381</v>
      </c>
      <c r="U54" s="30" t="s">
        <v>305</v>
      </c>
      <c r="V54" s="30" t="s">
        <v>382</v>
      </c>
      <c r="W54" s="159" t="s">
        <v>159</v>
      </c>
      <c r="X54" s="30" t="s">
        <v>383</v>
      </c>
      <c r="Y54" s="30"/>
      <c r="Z54" s="36"/>
      <c r="AA54" s="30"/>
      <c r="AB54" s="30"/>
      <c r="AC54" s="159" t="s">
        <v>159</v>
      </c>
      <c r="AD54" s="30" t="s">
        <v>384</v>
      </c>
      <c r="AE54" s="30" t="s">
        <v>385</v>
      </c>
      <c r="AF54" s="36"/>
      <c r="AG54" s="30"/>
      <c r="AH54" s="30"/>
      <c r="AI54" s="159" t="s">
        <v>159</v>
      </c>
      <c r="AJ54" s="30" t="s">
        <v>384</v>
      </c>
      <c r="AK54" s="30" t="s">
        <v>385</v>
      </c>
      <c r="AL54" s="36"/>
      <c r="AM54" s="30"/>
      <c r="AN54" s="30"/>
      <c r="AO54" s="159" t="s">
        <v>159</v>
      </c>
      <c r="AP54" s="30" t="s">
        <v>384</v>
      </c>
      <c r="AQ54" s="30" t="s">
        <v>385</v>
      </c>
      <c r="AR54" s="36"/>
      <c r="AS54" s="30"/>
      <c r="AT54" s="30"/>
      <c r="AU54" s="159" t="s">
        <v>386</v>
      </c>
      <c r="AV54" s="30" t="s">
        <v>387</v>
      </c>
      <c r="AW54" s="30"/>
      <c r="AX54" s="36"/>
      <c r="AY54" s="30"/>
      <c r="AZ54" s="30"/>
      <c r="BA54" s="159" t="s">
        <v>386</v>
      </c>
      <c r="BB54" s="30" t="s">
        <v>387</v>
      </c>
      <c r="BC54" s="30"/>
      <c r="BD54" s="36"/>
      <c r="BE54" s="30" t="s">
        <v>305</v>
      </c>
      <c r="BF54" s="30"/>
      <c r="BG54" s="159" t="s">
        <v>159</v>
      </c>
      <c r="BH54" s="30" t="s">
        <v>383</v>
      </c>
      <c r="BI54" s="30"/>
      <c r="BJ54" s="36"/>
      <c r="BK54" s="30"/>
      <c r="BL54" s="30"/>
      <c r="BM54" s="159" t="s">
        <v>159</v>
      </c>
      <c r="BN54" s="30" t="s">
        <v>388</v>
      </c>
      <c r="BO54" s="30"/>
      <c r="BP54" s="36"/>
      <c r="BQ54" s="30"/>
      <c r="BR54" s="30"/>
      <c r="BS54" s="159" t="s">
        <v>159</v>
      </c>
      <c r="BT54" s="30"/>
      <c r="BU54" s="30"/>
      <c r="BV54" s="36"/>
      <c r="BW54" s="30" t="s">
        <v>389</v>
      </c>
      <c r="BX54" s="30" t="s">
        <v>390</v>
      </c>
      <c r="BY54" s="159" t="s">
        <v>391</v>
      </c>
      <c r="BZ54" s="30" t="s">
        <v>392</v>
      </c>
      <c r="CA54" s="30"/>
      <c r="CB54" s="36"/>
      <c r="CC54" s="30"/>
      <c r="CD54" s="30"/>
      <c r="CE54" s="159" t="s">
        <v>391</v>
      </c>
      <c r="CF54" s="30" t="s">
        <v>393</v>
      </c>
      <c r="CG54" s="30" t="s">
        <v>392</v>
      </c>
      <c r="CH54" s="36"/>
      <c r="CI54" s="30" t="s">
        <v>389</v>
      </c>
      <c r="CJ54" s="30"/>
      <c r="CK54" s="159" t="s">
        <v>391</v>
      </c>
      <c r="CL54" s="30" t="s">
        <v>394</v>
      </c>
      <c r="CM54" s="30" t="s">
        <v>395</v>
      </c>
      <c r="CN54" s="36"/>
      <c r="CO54" s="30"/>
      <c r="CP54" s="30"/>
      <c r="CQ54" s="159" t="s">
        <v>391</v>
      </c>
      <c r="CR54" s="30" t="s">
        <v>396</v>
      </c>
      <c r="CS54" s="30"/>
      <c r="CT54" s="36"/>
      <c r="CU54" s="30"/>
      <c r="CV54" s="30"/>
      <c r="CW54" s="159" t="s">
        <v>391</v>
      </c>
      <c r="CX54" s="30" t="s">
        <v>396</v>
      </c>
      <c r="CY54" s="30"/>
      <c r="CZ54" s="36"/>
      <c r="DA54" s="30" t="s">
        <v>389</v>
      </c>
      <c r="DB54" s="30"/>
      <c r="DC54" s="159" t="s">
        <v>391</v>
      </c>
      <c r="DD54" s="30" t="s">
        <v>397</v>
      </c>
      <c r="DE54" s="30"/>
      <c r="DF54" s="36"/>
      <c r="DG54" s="30" t="s">
        <v>389</v>
      </c>
      <c r="DH54" s="30"/>
      <c r="DI54" s="159" t="s">
        <v>391</v>
      </c>
      <c r="DJ54" s="30" t="s">
        <v>397</v>
      </c>
      <c r="DK54" s="30"/>
      <c r="DL54" s="36"/>
      <c r="DM54" s="30" t="s">
        <v>389</v>
      </c>
      <c r="DN54" s="30"/>
      <c r="DO54" s="159" t="s">
        <v>391</v>
      </c>
      <c r="DP54" s="30"/>
      <c r="DQ54" s="30"/>
      <c r="DR54" s="36"/>
      <c r="DS54" s="30"/>
      <c r="DT54" s="30"/>
      <c r="DU54" s="159" t="s">
        <v>159</v>
      </c>
      <c r="DV54" s="30" t="s">
        <v>398</v>
      </c>
      <c r="DW54" s="30"/>
      <c r="DX54" s="36"/>
      <c r="DY54" s="30" t="s">
        <v>399</v>
      </c>
      <c r="DZ54" s="30"/>
      <c r="EA54" s="159" t="s">
        <v>159</v>
      </c>
      <c r="EB54" s="30" t="s">
        <v>383</v>
      </c>
      <c r="EC54" s="30"/>
      <c r="ED54" s="36"/>
      <c r="EE54" s="30" t="s">
        <v>399</v>
      </c>
      <c r="EF54" s="30"/>
      <c r="EG54" s="159" t="s">
        <v>159</v>
      </c>
      <c r="EH54" s="30" t="s">
        <v>383</v>
      </c>
      <c r="EI54" s="30"/>
      <c r="EJ54" s="36"/>
      <c r="EK54" s="30" t="s">
        <v>305</v>
      </c>
      <c r="EL54" s="30" t="s">
        <v>400</v>
      </c>
      <c r="EM54" s="159" t="s">
        <v>159</v>
      </c>
      <c r="EN54" s="30"/>
      <c r="EO54" s="30"/>
      <c r="EP54" s="36"/>
      <c r="EQ54" s="30" t="s">
        <v>305</v>
      </c>
      <c r="ER54" s="30"/>
      <c r="ES54" s="159" t="s">
        <v>159</v>
      </c>
      <c r="ET54" s="30" t="s">
        <v>401</v>
      </c>
      <c r="EU54" s="30"/>
      <c r="EV54" s="36"/>
      <c r="EW54" s="30" t="s">
        <v>305</v>
      </c>
      <c r="EX54" s="30"/>
      <c r="EY54" s="159" t="s">
        <v>159</v>
      </c>
      <c r="EZ54" s="30" t="s">
        <v>401</v>
      </c>
      <c r="FA54" s="30"/>
      <c r="FB54" s="36"/>
      <c r="FC54" s="30"/>
      <c r="FD54" s="30"/>
      <c r="FE54" s="159" t="s">
        <v>391</v>
      </c>
      <c r="FF54" s="30" t="s">
        <v>389</v>
      </c>
      <c r="FG54" s="30"/>
      <c r="FH54" s="36"/>
      <c r="FI54" s="30" t="s">
        <v>305</v>
      </c>
      <c r="FJ54" s="30" t="s">
        <v>400</v>
      </c>
      <c r="FK54" s="159" t="s">
        <v>159</v>
      </c>
      <c r="FL54" s="30" t="s">
        <v>402</v>
      </c>
      <c r="FM54" s="30" t="s">
        <v>403</v>
      </c>
      <c r="FN54" s="36"/>
      <c r="FO54" s="30"/>
      <c r="FP54" s="30" t="s">
        <v>404</v>
      </c>
      <c r="FQ54" s="159" t="s">
        <v>159</v>
      </c>
      <c r="FR54" s="30" t="s">
        <v>383</v>
      </c>
      <c r="FS54" s="30" t="s">
        <v>389</v>
      </c>
      <c r="FT54" s="36" t="s">
        <v>390</v>
      </c>
      <c r="FU54" s="30"/>
      <c r="FV54" s="30" t="s">
        <v>404</v>
      </c>
      <c r="FW54" s="159" t="s">
        <v>159</v>
      </c>
      <c r="FX54" s="30" t="s">
        <v>383</v>
      </c>
      <c r="FY54" s="30" t="s">
        <v>389</v>
      </c>
      <c r="FZ54" s="36" t="s">
        <v>390</v>
      </c>
      <c r="GA54" s="30" t="s">
        <v>305</v>
      </c>
      <c r="GB54" s="30"/>
      <c r="GC54" s="159" t="s">
        <v>159</v>
      </c>
      <c r="GD54" s="30" t="s">
        <v>405</v>
      </c>
      <c r="GE54" s="30"/>
      <c r="GF54" s="36"/>
      <c r="GG54" s="30" t="s">
        <v>305</v>
      </c>
      <c r="GH54" s="30"/>
      <c r="GI54" s="159" t="s">
        <v>159</v>
      </c>
      <c r="GJ54" s="30" t="s">
        <v>406</v>
      </c>
      <c r="GK54" s="30"/>
      <c r="GL54" s="36"/>
      <c r="GM54" s="30" t="s">
        <v>305</v>
      </c>
      <c r="GN54" s="30"/>
      <c r="GO54" s="159" t="s">
        <v>159</v>
      </c>
      <c r="GP54" s="30" t="s">
        <v>406</v>
      </c>
      <c r="GQ54" s="30"/>
      <c r="GR54" s="36"/>
      <c r="GS54" s="30"/>
      <c r="GT54" s="30"/>
      <c r="GU54" s="159" t="s">
        <v>159</v>
      </c>
      <c r="GV54" s="30" t="s">
        <v>407</v>
      </c>
      <c r="GW54" s="30" t="s">
        <v>306</v>
      </c>
      <c r="GX54" s="36" t="s">
        <v>408</v>
      </c>
      <c r="GY54" s="30"/>
      <c r="GZ54" s="30"/>
      <c r="HA54" s="159" t="s">
        <v>159</v>
      </c>
      <c r="HB54" s="30" t="s">
        <v>409</v>
      </c>
      <c r="HC54" s="30"/>
      <c r="HD54" s="36"/>
      <c r="HE54" s="30"/>
      <c r="HF54" s="30"/>
      <c r="HG54" s="159" t="s">
        <v>159</v>
      </c>
      <c r="HH54" s="30" t="s">
        <v>410</v>
      </c>
      <c r="HI54" s="30"/>
      <c r="HJ54" s="36"/>
      <c r="HK54" s="30"/>
      <c r="HL54" s="30"/>
      <c r="HM54" s="159" t="s">
        <v>159</v>
      </c>
      <c r="HN54" s="30" t="s">
        <v>411</v>
      </c>
      <c r="HO54" s="30"/>
      <c r="HP54" s="36"/>
      <c r="HQ54" s="30"/>
      <c r="HR54" s="30"/>
      <c r="HS54" s="159" t="s">
        <v>159</v>
      </c>
      <c r="HT54" s="30" t="s">
        <v>412</v>
      </c>
      <c r="HU54" s="30" t="s">
        <v>413</v>
      </c>
      <c r="HV54" s="36"/>
      <c r="HW54" s="30" t="s">
        <v>414</v>
      </c>
      <c r="HX54" s="30" t="s">
        <v>262</v>
      </c>
      <c r="HY54" s="159" t="s">
        <v>159</v>
      </c>
      <c r="HZ54" s="30" t="s">
        <v>415</v>
      </c>
      <c r="IA54" s="30"/>
      <c r="IB54" s="36"/>
      <c r="IC54" s="30" t="s">
        <v>414</v>
      </c>
      <c r="ID54" s="30" t="s">
        <v>262</v>
      </c>
      <c r="IE54" s="159" t="s">
        <v>159</v>
      </c>
      <c r="IF54" s="30" t="s">
        <v>415</v>
      </c>
      <c r="IG54" s="30"/>
      <c r="IH54" s="36"/>
      <c r="II54" s="30" t="s">
        <v>305</v>
      </c>
      <c r="IJ54" s="30"/>
      <c r="IK54" s="159" t="s">
        <v>159</v>
      </c>
      <c r="IL54" s="30"/>
      <c r="IM54" s="30"/>
      <c r="IN54" s="36"/>
      <c r="IO54" s="30" t="s">
        <v>305</v>
      </c>
      <c r="IP54" s="30"/>
      <c r="IQ54" s="159" t="s">
        <v>159</v>
      </c>
      <c r="IR54" s="30"/>
      <c r="IS54" s="30"/>
      <c r="IT54" s="36"/>
      <c r="IU54" s="30" t="s">
        <v>305</v>
      </c>
      <c r="IV54" s="30"/>
      <c r="IW54" s="159" t="s">
        <v>159</v>
      </c>
      <c r="IX54" s="30"/>
      <c r="IY54" s="30"/>
      <c r="IZ54" s="36"/>
      <c r="JA54" s="30"/>
      <c r="JB54" s="30"/>
      <c r="JC54" s="159" t="s">
        <v>159</v>
      </c>
      <c r="JD54" s="30" t="s">
        <v>306</v>
      </c>
      <c r="JE54" s="30"/>
      <c r="JF54" s="36"/>
      <c r="JG54" s="30"/>
      <c r="JH54" s="30"/>
      <c r="JI54" s="159" t="s">
        <v>159</v>
      </c>
      <c r="JJ54" s="30" t="s">
        <v>306</v>
      </c>
      <c r="JK54" s="30"/>
      <c r="JL54" s="36"/>
      <c r="JM54" s="30" t="s">
        <v>305</v>
      </c>
      <c r="JN54" s="30"/>
      <c r="JO54" s="159" t="s">
        <v>159</v>
      </c>
      <c r="JP54" s="30" t="s">
        <v>416</v>
      </c>
      <c r="JQ54" s="30" t="s">
        <v>417</v>
      </c>
      <c r="JR54" s="36"/>
      <c r="JS54" s="30"/>
      <c r="JT54" s="30"/>
      <c r="JU54" s="159" t="s">
        <v>159</v>
      </c>
      <c r="JV54" s="30" t="s">
        <v>418</v>
      </c>
      <c r="JW54" s="30" t="s">
        <v>419</v>
      </c>
      <c r="JX54" s="36"/>
      <c r="JY54" s="30"/>
      <c r="JZ54" s="30"/>
      <c r="KA54" s="159" t="s">
        <v>159</v>
      </c>
      <c r="KB54" s="30" t="s">
        <v>418</v>
      </c>
      <c r="KC54" s="30" t="s">
        <v>419</v>
      </c>
      <c r="KD54" s="36"/>
      <c r="KE54" s="30"/>
      <c r="KF54" s="30"/>
      <c r="KG54" s="159" t="s">
        <v>159</v>
      </c>
      <c r="KH54" s="30" t="s">
        <v>262</v>
      </c>
      <c r="KI54" s="30"/>
      <c r="KJ54" s="36"/>
      <c r="KK54" s="30" t="s">
        <v>305</v>
      </c>
      <c r="KL54" s="30" t="s">
        <v>400</v>
      </c>
      <c r="KM54" s="159" t="s">
        <v>159</v>
      </c>
      <c r="KN54" s="30"/>
      <c r="KO54" s="30"/>
      <c r="KP54" s="36"/>
      <c r="KQ54" s="30"/>
      <c r="KR54" s="30"/>
      <c r="KS54" s="159" t="s">
        <v>159</v>
      </c>
      <c r="KT54" s="30" t="s">
        <v>420</v>
      </c>
      <c r="KU54" s="30"/>
      <c r="KV54" s="36"/>
      <c r="KW54" s="30"/>
      <c r="KX54" s="30"/>
      <c r="KY54" s="159" t="s">
        <v>159</v>
      </c>
      <c r="KZ54" s="30" t="s">
        <v>377</v>
      </c>
      <c r="LA54" s="30" t="s">
        <v>378</v>
      </c>
      <c r="LB54" s="36"/>
      <c r="LC54" s="30" t="s">
        <v>305</v>
      </c>
      <c r="LD54" s="30"/>
      <c r="LE54" s="159" t="s">
        <v>159</v>
      </c>
      <c r="LF54" s="30" t="s">
        <v>421</v>
      </c>
      <c r="LG54" s="30" t="s">
        <v>422</v>
      </c>
      <c r="LH54" s="36" t="s">
        <v>423</v>
      </c>
      <c r="LI54" s="30"/>
      <c r="LJ54" s="30"/>
      <c r="LK54" s="159" t="s">
        <v>159</v>
      </c>
      <c r="LL54" s="30"/>
      <c r="LM54" s="30"/>
      <c r="LN54" s="36"/>
      <c r="LO54" s="30"/>
      <c r="LP54" s="30" t="s">
        <v>305</v>
      </c>
      <c r="LQ54" s="159" t="s">
        <v>159</v>
      </c>
      <c r="LR54" s="30" t="s">
        <v>383</v>
      </c>
      <c r="LS54" s="30"/>
      <c r="LT54" s="36"/>
      <c r="LU54" s="30"/>
      <c r="LV54" s="30"/>
      <c r="LW54" s="159" t="s">
        <v>159</v>
      </c>
      <c r="LX54" s="30" t="s">
        <v>424</v>
      </c>
      <c r="LY54" s="30" t="s">
        <v>425</v>
      </c>
      <c r="LZ54" s="36"/>
      <c r="MA54" s="30"/>
      <c r="MB54" s="30" t="s">
        <v>426</v>
      </c>
      <c r="MC54" s="159" t="s">
        <v>159</v>
      </c>
      <c r="MD54" s="30" t="s">
        <v>427</v>
      </c>
      <c r="ME54" s="30"/>
      <c r="MF54" s="36"/>
      <c r="MG54" s="30"/>
      <c r="MH54" s="30"/>
      <c r="MI54" s="159" t="s">
        <v>391</v>
      </c>
      <c r="MJ54" s="30"/>
      <c r="MK54" s="30"/>
      <c r="ML54" s="36"/>
      <c r="MM54" s="30" t="s">
        <v>305</v>
      </c>
      <c r="MN54" s="30"/>
      <c r="MO54" s="159" t="s">
        <v>159</v>
      </c>
      <c r="MP54" s="30" t="s">
        <v>306</v>
      </c>
      <c r="MQ54" s="30"/>
      <c r="MR54" s="36"/>
      <c r="MS54" s="30"/>
      <c r="MT54" s="30"/>
      <c r="MU54" s="159" t="s">
        <v>159</v>
      </c>
      <c r="MV54" s="30" t="s">
        <v>495</v>
      </c>
      <c r="MW54" s="30" t="s">
        <v>422</v>
      </c>
      <c r="MX54" s="36" t="s">
        <v>494</v>
      </c>
      <c r="MY54" s="30"/>
      <c r="MZ54" s="30"/>
      <c r="NA54" s="159"/>
      <c r="NB54" s="30"/>
      <c r="NC54" s="30"/>
      <c r="ND54" s="36"/>
      <c r="NE54" s="30"/>
      <c r="NF54" s="30"/>
      <c r="NG54" s="159"/>
      <c r="NH54" s="30"/>
      <c r="NI54" s="30"/>
      <c r="NJ54" s="36"/>
    </row>
    <row r="55" spans="1:374" x14ac:dyDescent="0.45">
      <c r="A55" s="274"/>
      <c r="B55" s="8" t="s">
        <v>235</v>
      </c>
      <c r="C55" s="28"/>
      <c r="D55" s="28">
        <v>28.08</v>
      </c>
      <c r="E55" s="160">
        <v>5.57E-2</v>
      </c>
      <c r="F55" s="28">
        <v>0.88109999999999999</v>
      </c>
      <c r="G55" s="28">
        <v>0.88109999999999999</v>
      </c>
      <c r="H55" s="29"/>
      <c r="I55" s="28"/>
      <c r="J55" s="28"/>
      <c r="K55" s="160">
        <v>0.57289999999999996</v>
      </c>
      <c r="L55" s="28">
        <v>2.5047000000000001</v>
      </c>
      <c r="M55" s="28">
        <v>5</v>
      </c>
      <c r="N55" s="29">
        <v>7.5046999999999997</v>
      </c>
      <c r="O55" s="28"/>
      <c r="P55" s="28"/>
      <c r="Q55" s="160">
        <v>0.57289999999999996</v>
      </c>
      <c r="R55" s="28">
        <v>2.5047000000000001</v>
      </c>
      <c r="S55" s="28">
        <v>5</v>
      </c>
      <c r="T55" s="29">
        <v>7.5046999999999997</v>
      </c>
      <c r="U55" s="28">
        <v>13.6592</v>
      </c>
      <c r="V55" s="28">
        <f>12*28.9%</f>
        <v>3.468</v>
      </c>
      <c r="W55" s="160">
        <v>0.3211</v>
      </c>
      <c r="X55" s="28">
        <v>1.3660000000000001</v>
      </c>
      <c r="Y55" s="28"/>
      <c r="Z55" s="29"/>
      <c r="AA55" s="28"/>
      <c r="AB55" s="28"/>
      <c r="AC55" s="160">
        <v>5.57E-2</v>
      </c>
      <c r="AD55" s="28"/>
      <c r="AE55" s="28">
        <f>50.05%*20</f>
        <v>10.009999999999998</v>
      </c>
      <c r="AF55" s="29"/>
      <c r="AG55" s="28"/>
      <c r="AH55" s="28"/>
      <c r="AI55" s="160">
        <v>5.57E-2</v>
      </c>
      <c r="AJ55" s="28"/>
      <c r="AK55" s="28">
        <f>50.05%*20</f>
        <v>10.009999999999998</v>
      </c>
      <c r="AL55" s="29"/>
      <c r="AM55" s="28"/>
      <c r="AN55" s="28"/>
      <c r="AO55" s="160">
        <v>5.57E-2</v>
      </c>
      <c r="AP55" s="28">
        <f>25.08%*20</f>
        <v>5.0159999999999991</v>
      </c>
      <c r="AQ55" s="28"/>
      <c r="AR55" s="29"/>
      <c r="AS55" s="28"/>
      <c r="AT55" s="28"/>
      <c r="AU55" s="160">
        <v>2.0150000000000001</v>
      </c>
      <c r="AV55" s="28">
        <v>2.0150000000000001</v>
      </c>
      <c r="AW55" s="28"/>
      <c r="AX55" s="29"/>
      <c r="AY55" s="28"/>
      <c r="AZ55" s="28"/>
      <c r="BA55" s="160">
        <v>2.0150000000000001</v>
      </c>
      <c r="BB55" s="28">
        <v>2.0150000000000001</v>
      </c>
      <c r="BC55" s="28"/>
      <c r="BD55" s="29"/>
      <c r="BE55" s="28">
        <v>82.367999999999995</v>
      </c>
      <c r="BF55" s="28"/>
      <c r="BG55" s="160">
        <v>0.69040000000000001</v>
      </c>
      <c r="BH55" s="28">
        <v>1.7898000000000001</v>
      </c>
      <c r="BI55" s="28"/>
      <c r="BJ55" s="29"/>
      <c r="BK55" s="28"/>
      <c r="BL55" s="28"/>
      <c r="BM55" s="160">
        <v>0.69040000000000001</v>
      </c>
      <c r="BN55" s="28">
        <v>0.51459999999999995</v>
      </c>
      <c r="BO55" s="28"/>
      <c r="BP55" s="29"/>
      <c r="BQ55" s="28"/>
      <c r="BR55" s="28"/>
      <c r="BS55" s="160">
        <v>0.69040000000000001</v>
      </c>
      <c r="BT55" s="28"/>
      <c r="BU55" s="28"/>
      <c r="BV55" s="29"/>
      <c r="BW55" s="28">
        <v>1.4984999999999999</v>
      </c>
      <c r="BX55" s="28">
        <v>6.4935</v>
      </c>
      <c r="BY55" s="160">
        <v>2.1070000000000002</v>
      </c>
      <c r="BZ55" s="28">
        <v>1.7058</v>
      </c>
      <c r="CA55" s="28"/>
      <c r="CB55" s="29"/>
      <c r="CC55" s="28"/>
      <c r="CD55" s="28"/>
      <c r="CE55" s="160">
        <v>5.8599999999999999E-2</v>
      </c>
      <c r="CF55" s="28">
        <v>1.5843</v>
      </c>
      <c r="CG55" s="28">
        <v>1.0964</v>
      </c>
      <c r="CH55" s="29"/>
      <c r="CI55" s="28">
        <v>30.096</v>
      </c>
      <c r="CJ55" s="28"/>
      <c r="CK55" s="160">
        <v>2.0430000000000001</v>
      </c>
      <c r="CL55" s="28">
        <v>0.98550000000000004</v>
      </c>
      <c r="CM55" s="28">
        <v>2.0150000000000001</v>
      </c>
      <c r="CN55" s="29"/>
      <c r="CO55" s="28"/>
      <c r="CP55" s="28"/>
      <c r="CQ55" s="160">
        <v>2.5920000000000001</v>
      </c>
      <c r="CR55" s="28">
        <v>3.8241999999999998</v>
      </c>
      <c r="CS55" s="28"/>
      <c r="CT55" s="29"/>
      <c r="CU55" s="28"/>
      <c r="CV55" s="28"/>
      <c r="CW55" s="160">
        <v>2.5920000000000001</v>
      </c>
      <c r="CX55" s="28">
        <v>3.8241999999999998</v>
      </c>
      <c r="CY55" s="28"/>
      <c r="CZ55" s="29"/>
      <c r="DA55" s="28">
        <v>3.0002</v>
      </c>
      <c r="DB55" s="28"/>
      <c r="DC55" s="160">
        <v>0.69040000000000001</v>
      </c>
      <c r="DD55" s="28">
        <v>0.90810000000000002</v>
      </c>
      <c r="DE55" s="28"/>
      <c r="DF55" s="29"/>
      <c r="DG55" s="28">
        <v>3.0002</v>
      </c>
      <c r="DH55" s="28"/>
      <c r="DI55" s="160">
        <v>0.69040000000000001</v>
      </c>
      <c r="DJ55" s="28">
        <v>0.90810000000000002</v>
      </c>
      <c r="DK55" s="28"/>
      <c r="DL55" s="29"/>
      <c r="DM55" s="28">
        <v>8.4951000000000008</v>
      </c>
      <c r="DN55" s="28"/>
      <c r="DO55" s="160">
        <v>0.27079999999999999</v>
      </c>
      <c r="DP55" s="28"/>
      <c r="DQ55" s="28"/>
      <c r="DR55" s="29"/>
      <c r="DS55" s="28"/>
      <c r="DT55" s="28"/>
      <c r="DU55" s="160">
        <v>7.7100000000000002E-2</v>
      </c>
      <c r="DV55" s="28">
        <v>3.0499999999999999E-2</v>
      </c>
      <c r="DW55" s="28"/>
      <c r="DX55" s="29"/>
      <c r="DY55" s="28">
        <v>13.728</v>
      </c>
      <c r="DZ55" s="28"/>
      <c r="EA55" s="160">
        <v>0.61299999999999999</v>
      </c>
      <c r="EB55" s="28">
        <v>5.4762000000000004</v>
      </c>
      <c r="EC55" s="28"/>
      <c r="ED55" s="29"/>
      <c r="EE55" s="28">
        <v>13.728</v>
      </c>
      <c r="EF55" s="28"/>
      <c r="EG55" s="160">
        <v>0.61299999999999999</v>
      </c>
      <c r="EH55" s="28">
        <v>5.4762000000000004</v>
      </c>
      <c r="EI55" s="28"/>
      <c r="EJ55" s="29"/>
      <c r="EK55" s="28">
        <v>1.2232000000000001</v>
      </c>
      <c r="EL55" s="28">
        <v>1.2232000000000001</v>
      </c>
      <c r="EM55" s="160">
        <v>0.69040000000000001</v>
      </c>
      <c r="EN55" s="28"/>
      <c r="EO55" s="28"/>
      <c r="EP55" s="29"/>
      <c r="EQ55" s="28">
        <v>10.666600000000001</v>
      </c>
      <c r="ER55" s="28"/>
      <c r="ES55" s="160">
        <v>1.821</v>
      </c>
      <c r="ET55" s="28">
        <v>2.0284</v>
      </c>
      <c r="EU55" s="28"/>
      <c r="EV55" s="29"/>
      <c r="EW55" s="28">
        <v>10.666600000000001</v>
      </c>
      <c r="EX55" s="28"/>
      <c r="EY55" s="160">
        <v>1.821</v>
      </c>
      <c r="EZ55" s="28">
        <v>2.0284</v>
      </c>
      <c r="FA55" s="28"/>
      <c r="FB55" s="29"/>
      <c r="FC55" s="28"/>
      <c r="FD55" s="28"/>
      <c r="FE55" s="160">
        <v>0.1507</v>
      </c>
      <c r="FF55" s="28">
        <v>3.96</v>
      </c>
      <c r="FG55" s="28"/>
      <c r="FH55" s="29"/>
      <c r="FI55" s="28">
        <v>5.4450000000000003</v>
      </c>
      <c r="FJ55" s="28">
        <v>5.4450000000000003</v>
      </c>
      <c r="FK55" s="160">
        <v>0.14069999999999999</v>
      </c>
      <c r="FL55" s="28">
        <v>0.88</v>
      </c>
      <c r="FM55" s="28">
        <v>1</v>
      </c>
      <c r="FN55" s="29"/>
      <c r="FO55" s="28"/>
      <c r="FP55" s="28">
        <v>14.5572</v>
      </c>
      <c r="FQ55" s="160">
        <v>0.63109999999999999</v>
      </c>
      <c r="FR55" s="28">
        <v>1.3245</v>
      </c>
      <c r="FS55" s="28">
        <v>0.222</v>
      </c>
      <c r="FT55" s="29">
        <v>0.11899999999999999</v>
      </c>
      <c r="FU55" s="28"/>
      <c r="FV55" s="28">
        <v>14.5572</v>
      </c>
      <c r="FW55" s="160">
        <v>0.63109999999999999</v>
      </c>
      <c r="FX55" s="28">
        <f>132.45%+14.78%</f>
        <v>1.4722999999999997</v>
      </c>
      <c r="FY55" s="28">
        <f>22.2%+14.78%</f>
        <v>0.36980000000000002</v>
      </c>
      <c r="FZ55" s="29">
        <v>0.11899999999999999</v>
      </c>
      <c r="GA55" s="28">
        <v>4.5713999999999997</v>
      </c>
      <c r="GB55" s="28"/>
      <c r="GC55" s="160">
        <v>0.13650000000000001</v>
      </c>
      <c r="GD55" s="28">
        <v>4.8</v>
      </c>
      <c r="GE55" s="28"/>
      <c r="GF55" s="29"/>
      <c r="GG55" s="28">
        <v>4.923</v>
      </c>
      <c r="GH55" s="28"/>
      <c r="GI55" s="160">
        <v>0.61299999999999999</v>
      </c>
      <c r="GJ55" s="28">
        <f>68.46%*10</f>
        <v>6.8460000000000001</v>
      </c>
      <c r="GK55" s="28"/>
      <c r="GL55" s="29"/>
      <c r="GM55" s="28">
        <v>4.923</v>
      </c>
      <c r="GN55" s="28"/>
      <c r="GO55" s="160">
        <v>0.61299999999999999</v>
      </c>
      <c r="GP55" s="28">
        <f>68.46%*10</f>
        <v>6.8460000000000001</v>
      </c>
      <c r="GQ55" s="28"/>
      <c r="GR55" s="29"/>
      <c r="GS55" s="28"/>
      <c r="GT55" s="28"/>
      <c r="GU55" s="160">
        <v>0.14710000000000001</v>
      </c>
      <c r="GV55" s="28">
        <v>0.82799999999999996</v>
      </c>
      <c r="GW55" s="28">
        <v>1.4473</v>
      </c>
      <c r="GX55" s="29">
        <v>4.9950000000000001</v>
      </c>
      <c r="GY55" s="28"/>
      <c r="GZ55" s="28"/>
      <c r="HA55" s="160">
        <v>0.69040000000000001</v>
      </c>
      <c r="HB55" s="28">
        <v>8.1341999999999999</v>
      </c>
      <c r="HC55" s="28"/>
      <c r="HD55" s="29"/>
      <c r="HE55" s="28"/>
      <c r="HF55" s="28"/>
      <c r="HG55" s="160">
        <v>0.69040000000000001</v>
      </c>
      <c r="HH55" s="28">
        <v>4.4770000000000003</v>
      </c>
      <c r="HI55" s="28"/>
      <c r="HJ55" s="29"/>
      <c r="HK55" s="28"/>
      <c r="HL55" s="28"/>
      <c r="HM55" s="160">
        <v>5.57E-2</v>
      </c>
      <c r="HN55" s="28">
        <v>11</v>
      </c>
      <c r="HO55" s="28"/>
      <c r="HP55" s="29"/>
      <c r="HQ55" s="28"/>
      <c r="HR55" s="28"/>
      <c r="HS55" s="160">
        <v>5.8599999999999999E-2</v>
      </c>
      <c r="HT55" s="28">
        <v>1.5843</v>
      </c>
      <c r="HU55" s="28">
        <v>1.0964</v>
      </c>
      <c r="HV55" s="29"/>
      <c r="HW55" s="28">
        <v>4.5713999999999997</v>
      </c>
      <c r="HX55" s="28">
        <v>0.35160000000000002</v>
      </c>
      <c r="HY55" s="160">
        <v>0.13650000000000001</v>
      </c>
      <c r="HZ55" s="28">
        <v>2.56</v>
      </c>
      <c r="IA55" s="28"/>
      <c r="IB55" s="29"/>
      <c r="IC55" s="28">
        <v>4.5713999999999997</v>
      </c>
      <c r="ID55" s="28">
        <v>0.35160000000000002</v>
      </c>
      <c r="IE55" s="160">
        <v>0.13650000000000001</v>
      </c>
      <c r="IF55" s="28">
        <v>2.56</v>
      </c>
      <c r="IG55" s="28"/>
      <c r="IH55" s="29"/>
      <c r="II55" s="28">
        <v>17.383099999999999</v>
      </c>
      <c r="IJ55" s="28"/>
      <c r="IK55" s="160">
        <v>5.0599999999999999E-2</v>
      </c>
      <c r="IL55" s="28"/>
      <c r="IM55" s="28"/>
      <c r="IN55" s="29"/>
      <c r="IO55" s="28">
        <v>14.572800000000001</v>
      </c>
      <c r="IP55" s="28"/>
      <c r="IQ55" s="160">
        <v>0.1578</v>
      </c>
      <c r="IR55" s="28"/>
      <c r="IS55" s="28"/>
      <c r="IT55" s="29"/>
      <c r="IU55" s="28">
        <f>20.87%*11</f>
        <v>2.2957000000000001</v>
      </c>
      <c r="IV55" s="28"/>
      <c r="IW55" s="160">
        <v>0.13650000000000001</v>
      </c>
      <c r="IX55" s="28"/>
      <c r="IY55" s="28"/>
      <c r="IZ55" s="29"/>
      <c r="JA55" s="28"/>
      <c r="JB55" s="28"/>
      <c r="JC55" s="160">
        <v>0.69040000000000001</v>
      </c>
      <c r="JD55" s="28">
        <v>2.6507000000000001</v>
      </c>
      <c r="JE55" s="28"/>
      <c r="JF55" s="29"/>
      <c r="JG55" s="28"/>
      <c r="JH55" s="28"/>
      <c r="JI55" s="160">
        <v>0.69040000000000001</v>
      </c>
      <c r="JJ55" s="28">
        <f>150.04%*3.498</f>
        <v>5.2483992000000006</v>
      </c>
      <c r="JK55" s="28"/>
      <c r="JL55" s="29"/>
      <c r="JM55" s="28">
        <v>6.2869999999999999</v>
      </c>
      <c r="JN55" s="28"/>
      <c r="JO55" s="160">
        <v>2.3159999999999998</v>
      </c>
      <c r="JP55" s="28">
        <v>0.52039999999999997</v>
      </c>
      <c r="JQ55" s="28">
        <v>0.85019999999999996</v>
      </c>
      <c r="JR55" s="29"/>
      <c r="JS55" s="28"/>
      <c r="JT55" s="28"/>
      <c r="JU55" s="160">
        <v>0.61299999999999999</v>
      </c>
      <c r="JV55" s="28">
        <v>0.61299999999999999</v>
      </c>
      <c r="JW55" s="28">
        <v>4.2</v>
      </c>
      <c r="JX55" s="29"/>
      <c r="JY55" s="28"/>
      <c r="JZ55" s="28"/>
      <c r="KA55" s="160">
        <v>0.61299999999999999</v>
      </c>
      <c r="KB55" s="28">
        <v>0.61299999999999999</v>
      </c>
      <c r="KC55" s="28">
        <v>4.2</v>
      </c>
      <c r="KD55" s="29"/>
      <c r="KE55" s="28"/>
      <c r="KF55" s="28"/>
      <c r="KG55" s="160">
        <v>0.71089999999999998</v>
      </c>
      <c r="KH55" s="28">
        <v>1.92</v>
      </c>
      <c r="KI55" s="28"/>
      <c r="KJ55" s="29"/>
      <c r="KK55" s="28">
        <v>12.375</v>
      </c>
      <c r="KL55" s="28">
        <v>12.375</v>
      </c>
      <c r="KM55" s="160">
        <v>5.57E-2</v>
      </c>
      <c r="KN55" s="28"/>
      <c r="KO55" s="28"/>
      <c r="KP55" s="29"/>
      <c r="KQ55" s="28"/>
      <c r="KR55" s="28"/>
      <c r="KS55" s="160">
        <v>0.54659999999999997</v>
      </c>
      <c r="KT55" s="28">
        <v>0.23899999999999999</v>
      </c>
      <c r="KU55" s="28"/>
      <c r="KV55" s="29"/>
      <c r="KW55" s="28"/>
      <c r="KX55" s="28"/>
      <c r="KY55" s="160">
        <v>5.57E-2</v>
      </c>
      <c r="KZ55" s="28">
        <v>0.88109999999999999</v>
      </c>
      <c r="LA55" s="28">
        <v>0.88109999999999999</v>
      </c>
      <c r="LB55" s="29"/>
      <c r="LC55" s="28">
        <v>6.4532999999999996</v>
      </c>
      <c r="LD55" s="28"/>
      <c r="LE55" s="160">
        <v>8.7300000000000003E-2</v>
      </c>
      <c r="LF55" s="28">
        <v>2.7517999999999998</v>
      </c>
      <c r="LG55" s="28">
        <v>1.5</v>
      </c>
      <c r="LH55" s="29">
        <v>3.8046000000000002</v>
      </c>
      <c r="LI55" s="28"/>
      <c r="LJ55" s="28"/>
      <c r="LK55" s="160">
        <v>5.57E-2</v>
      </c>
      <c r="LL55" s="28"/>
      <c r="LM55" s="28"/>
      <c r="LN55" s="29"/>
      <c r="LO55" s="28"/>
      <c r="LP55" s="28">
        <v>9.25</v>
      </c>
      <c r="LQ55" s="160">
        <v>0.69040000000000001</v>
      </c>
      <c r="LR55" s="28">
        <v>0.40500000000000003</v>
      </c>
      <c r="LS55" s="28"/>
      <c r="LT55" s="29"/>
      <c r="LU55" s="28"/>
      <c r="LV55" s="28"/>
      <c r="LW55" s="160">
        <v>0.61299999999999999</v>
      </c>
      <c r="LX55" s="28">
        <v>0.63329999999999997</v>
      </c>
      <c r="LY55" s="28">
        <f>18.43%+181.2%</f>
        <v>1.9962999999999997</v>
      </c>
      <c r="LZ55" s="29"/>
      <c r="MA55" s="28"/>
      <c r="MB55" s="28">
        <v>6.36</v>
      </c>
      <c r="MC55" s="160">
        <v>2.0150000000000001</v>
      </c>
      <c r="MD55" s="28">
        <v>6.75</v>
      </c>
      <c r="ME55" s="28"/>
      <c r="MF55" s="29"/>
      <c r="MG55" s="28"/>
      <c r="MH55" s="28"/>
      <c r="MI55" s="160">
        <v>0.17910000000000001</v>
      </c>
      <c r="MJ55" s="28"/>
      <c r="MK55" s="28"/>
      <c r="ML55" s="29"/>
      <c r="MM55" s="28">
        <v>2.9089999999999998</v>
      </c>
      <c r="MN55" s="28"/>
      <c r="MO55" s="160">
        <v>0.22439999999999999</v>
      </c>
      <c r="MP55" s="28">
        <v>2.6659999999999999</v>
      </c>
      <c r="MQ55" s="28"/>
      <c r="MR55" s="29"/>
      <c r="MS55" s="28"/>
      <c r="MT55" s="28"/>
      <c r="MU55" s="160">
        <v>0.69040000000000001</v>
      </c>
      <c r="MV55" s="28">
        <v>0.41899999999999998</v>
      </c>
      <c r="MW55" s="28">
        <v>0.41899999999999998</v>
      </c>
      <c r="MX55" s="29">
        <v>1.0559000000000001</v>
      </c>
      <c r="MY55" s="28"/>
      <c r="MZ55" s="28"/>
      <c r="NA55" s="160"/>
      <c r="NB55" s="28"/>
      <c r="NC55" s="28"/>
      <c r="ND55" s="29"/>
      <c r="NE55" s="28"/>
      <c r="NF55" s="28"/>
      <c r="NG55" s="160"/>
      <c r="NH55" s="28"/>
      <c r="NI55" s="28"/>
      <c r="NJ55" s="29"/>
    </row>
    <row r="56" spans="1:374" s="7" customFormat="1" x14ac:dyDescent="0.45">
      <c r="A56" s="274"/>
      <c r="B56" s="7" t="s">
        <v>428</v>
      </c>
      <c r="C56" s="32"/>
      <c r="D56" s="32">
        <v>1</v>
      </c>
      <c r="E56" s="137">
        <f>VLOOKUP(E$1,니케스팩!$M$2:$N$7,2,0)</f>
        <v>550</v>
      </c>
      <c r="F56" s="32">
        <f>E56/60</f>
        <v>9.1666666666666661</v>
      </c>
      <c r="G56" s="32">
        <f>E56/60+1</f>
        <v>10.166666666666666</v>
      </c>
      <c r="H56" s="31"/>
      <c r="I56" s="32"/>
      <c r="J56" s="32"/>
      <c r="K56" s="137">
        <v>18</v>
      </c>
      <c r="L56" s="32">
        <f>$K$56/3</f>
        <v>6</v>
      </c>
      <c r="M56" s="32">
        <f>$K$56/3</f>
        <v>6</v>
      </c>
      <c r="N56" s="31">
        <f>$K$56/3</f>
        <v>6</v>
      </c>
      <c r="O56" s="32"/>
      <c r="P56" s="32"/>
      <c r="Q56" s="137">
        <v>14</v>
      </c>
      <c r="R56" s="32">
        <f>$Q$56/3</f>
        <v>4.666666666666667</v>
      </c>
      <c r="S56" s="32">
        <f>$Q$56/3</f>
        <v>4.666666666666667</v>
      </c>
      <c r="T56" s="31">
        <f>$Q$56/3</f>
        <v>4.666666666666667</v>
      </c>
      <c r="U56" s="32">
        <v>10</v>
      </c>
      <c r="V56" s="32">
        <v>10</v>
      </c>
      <c r="W56" s="137">
        <v>30</v>
      </c>
      <c r="X56" s="32">
        <f>W56</f>
        <v>30</v>
      </c>
      <c r="Y56" s="32"/>
      <c r="Z56" s="31"/>
      <c r="AA56" s="32"/>
      <c r="AB56" s="32"/>
      <c r="AC56" s="137">
        <f>VLOOKUP(AC$1,니케스팩!$M$2:$N$7,2,0)</f>
        <v>550</v>
      </c>
      <c r="AD56" s="32"/>
      <c r="AE56" s="32">
        <v>10</v>
      </c>
      <c r="AF56" s="31"/>
      <c r="AG56" s="32"/>
      <c r="AH56" s="32"/>
      <c r="AI56" s="137">
        <v>0</v>
      </c>
      <c r="AJ56" s="32"/>
      <c r="AK56" s="32">
        <v>10</v>
      </c>
      <c r="AL56" s="31"/>
      <c r="AM56" s="32"/>
      <c r="AN56" s="32"/>
      <c r="AO56" s="137">
        <f>VLOOKUP(AO$1,니케스팩!$M$2:$N$7,2,0)</f>
        <v>550</v>
      </c>
      <c r="AP56" s="32">
        <v>10</v>
      </c>
      <c r="AQ56" s="32"/>
      <c r="AR56" s="31"/>
      <c r="AS56" s="32"/>
      <c r="AT56" s="32"/>
      <c r="AU56" s="137">
        <f>VLOOKUP(AU$1,니케스팩!$M$2:$N$7,2,0)*80/125</f>
        <v>9.6959999999999997</v>
      </c>
      <c r="AV56" s="32">
        <f>VLOOKUP(AU$1,니케스팩!$M$2:$N$7,2,0)*45/125</f>
        <v>5.4539999999999997</v>
      </c>
      <c r="AW56" s="32"/>
      <c r="AX56" s="31"/>
      <c r="AY56" s="32"/>
      <c r="AZ56" s="32"/>
      <c r="BA56" s="137">
        <f>VLOOKUP(BA$1,니케스팩!$M$2:$N$7,2,0)*80/140</f>
        <v>8.6571428571428566</v>
      </c>
      <c r="BB56" s="32">
        <f>VLOOKUP(BA$1,니케스팩!$M$2:$N$7,2,0)*60/140</f>
        <v>6.4928571428571429</v>
      </c>
      <c r="BC56" s="32"/>
      <c r="BD56" s="31"/>
      <c r="BE56" s="32">
        <v>1</v>
      </c>
      <c r="BF56" s="32"/>
      <c r="BG56" s="137">
        <v>8</v>
      </c>
      <c r="BH56" s="32">
        <f>BG56</f>
        <v>8</v>
      </c>
      <c r="BI56" s="32"/>
      <c r="BJ56" s="31"/>
      <c r="BK56" s="32"/>
      <c r="BL56" s="32"/>
      <c r="BM56" s="137">
        <v>0</v>
      </c>
      <c r="BN56" s="32">
        <v>33</v>
      </c>
      <c r="BO56" s="32"/>
      <c r="BP56" s="31"/>
      <c r="BQ56" s="32"/>
      <c r="BR56" s="32"/>
      <c r="BS56" s="137">
        <v>35</v>
      </c>
      <c r="BT56" s="32"/>
      <c r="BU56" s="32"/>
      <c r="BV56" s="31"/>
      <c r="BW56" s="32">
        <v>1</v>
      </c>
      <c r="BX56" s="32">
        <v>1</v>
      </c>
      <c r="BY56" s="137">
        <f>VLOOKUP(BY$1,니케스팩!$M$2:$N$7,2,0)</f>
        <v>15.15</v>
      </c>
      <c r="BZ56" s="32">
        <f>5/15</f>
        <v>0.33333333333333331</v>
      </c>
      <c r="CA56" s="32"/>
      <c r="CB56" s="31"/>
      <c r="CC56" s="32"/>
      <c r="CD56" s="32"/>
      <c r="CE56" s="137">
        <f>VLOOKUP(CE$1,니케스팩!$M$2:$N$7,2,0)</f>
        <v>550</v>
      </c>
      <c r="CF56" s="32">
        <f>CE56/60</f>
        <v>9.1666666666666661</v>
      </c>
      <c r="CG56" s="32">
        <f>CE56/60*메인!$C$4</f>
        <v>0</v>
      </c>
      <c r="CH56" s="31"/>
      <c r="CI56" s="32">
        <v>1</v>
      </c>
      <c r="CJ56" s="32"/>
      <c r="CK56" s="137">
        <f>VLOOKUP(CK$1,니케스팩!$M$2:$N$7,2,0)</f>
        <v>15.15</v>
      </c>
      <c r="CL56" s="32">
        <f>CK56/10</f>
        <v>1.5150000000000001</v>
      </c>
      <c r="CM56" s="32">
        <f>CK56/5</f>
        <v>3.0300000000000002</v>
      </c>
      <c r="CN56" s="31"/>
      <c r="CO56" s="32"/>
      <c r="CP56" s="32"/>
      <c r="CQ56" s="137">
        <f>VLOOKUP(CQ$1,니케스팩!$M$2:$N$7,2,0)</f>
        <v>15.15</v>
      </c>
      <c r="CR56" s="32">
        <f>CQ56</f>
        <v>15.15</v>
      </c>
      <c r="CS56" s="32"/>
      <c r="CT56" s="31"/>
      <c r="CU56" s="32"/>
      <c r="CV56" s="32"/>
      <c r="CW56" s="137">
        <f>VLOOKUP(CW$1,니케스팩!$M$2:$N$7,2,0)</f>
        <v>15.15</v>
      </c>
      <c r="CX56" s="32">
        <f>CW56</f>
        <v>15.15</v>
      </c>
      <c r="CY56" s="32"/>
      <c r="CZ56" s="31"/>
      <c r="DA56" s="32">
        <v>1</v>
      </c>
      <c r="DB56" s="32"/>
      <c r="DC56" s="137">
        <f>VLOOKUP(DC$1,니케스팩!$M$2:$N$7,2,0)</f>
        <v>8.1300000000000008</v>
      </c>
      <c r="DD56" s="32">
        <v>31</v>
      </c>
      <c r="DE56" s="32"/>
      <c r="DF56" s="31"/>
      <c r="DG56" s="32">
        <v>1</v>
      </c>
      <c r="DH56" s="32"/>
      <c r="DI56" s="137">
        <v>1</v>
      </c>
      <c r="DJ56" s="32">
        <v>31</v>
      </c>
      <c r="DK56" s="32"/>
      <c r="DL56" s="31"/>
      <c r="DM56" s="32">
        <v>1</v>
      </c>
      <c r="DN56" s="32"/>
      <c r="DO56" s="137">
        <f>VLOOKUP(DO$1,니케스팩!$M$2:$N$7,2,0)</f>
        <v>120</v>
      </c>
      <c r="DP56" s="32"/>
      <c r="DQ56" s="32"/>
      <c r="DR56" s="31"/>
      <c r="DS56" s="32"/>
      <c r="DT56" s="32"/>
      <c r="DU56" s="137">
        <f>VLOOKUP(DU$1,니케스팩!$M$2:$N$7,2,0)</f>
        <v>550</v>
      </c>
      <c r="DV56" s="32">
        <f>DU56</f>
        <v>550</v>
      </c>
      <c r="DW56" s="32"/>
      <c r="DX56" s="31"/>
      <c r="DY56" s="32">
        <v>2</v>
      </c>
      <c r="DZ56" s="32"/>
      <c r="EA56" s="137">
        <f>VLOOKUP(EA$1,니케스팩!$M$2:$N$7,2,0)</f>
        <v>8.1300000000000008</v>
      </c>
      <c r="EB56" s="32">
        <f>EA56</f>
        <v>8.1300000000000008</v>
      </c>
      <c r="EC56" s="32"/>
      <c r="ED56" s="31"/>
      <c r="EE56" s="32">
        <v>2</v>
      </c>
      <c r="EF56" s="32"/>
      <c r="EG56" s="137">
        <f>VLOOKUP(EG$1,니케스팩!$M$2:$N$7,2,0)</f>
        <v>8.1300000000000008</v>
      </c>
      <c r="EH56" s="32">
        <f>EG56</f>
        <v>8.1300000000000008</v>
      </c>
      <c r="EI56" s="32"/>
      <c r="EJ56" s="31"/>
      <c r="EK56" s="32">
        <v>1</v>
      </c>
      <c r="EL56" s="32">
        <v>1</v>
      </c>
      <c r="EM56" s="137">
        <f>VLOOKUP(EM$1,니케스팩!$M$2:$N$7,2,0)</f>
        <v>8.1300000000000008</v>
      </c>
      <c r="EN56" s="32"/>
      <c r="EO56" s="32"/>
      <c r="EP56" s="31"/>
      <c r="EQ56" s="32"/>
      <c r="ER56" s="32"/>
      <c r="ES56" s="137">
        <f>VLOOKUP(ES$1,니케스팩!$M$2:$N$7,2,0)</f>
        <v>15.15</v>
      </c>
      <c r="ET56" s="32">
        <f>ES56/3</f>
        <v>5.05</v>
      </c>
      <c r="EU56" s="32"/>
      <c r="EV56" s="31"/>
      <c r="EW56" s="32"/>
      <c r="EX56" s="32"/>
      <c r="EY56" s="137">
        <f>VLOOKUP(EY$1,니케스팩!$M$2:$N$7,2,0)</f>
        <v>15.15</v>
      </c>
      <c r="EZ56" s="32">
        <f>EY56/2</f>
        <v>7.5750000000000002</v>
      </c>
      <c r="FA56" s="32"/>
      <c r="FB56" s="31"/>
      <c r="FC56" s="32"/>
      <c r="FD56" s="32"/>
      <c r="FE56" s="137">
        <f>VLOOKUP(FE$1,니케스팩!$M$2:$N$7,2,0)</f>
        <v>120</v>
      </c>
      <c r="FF56" s="32">
        <v>10</v>
      </c>
      <c r="FG56" s="32"/>
      <c r="FH56" s="31"/>
      <c r="FI56" s="32">
        <v>5</v>
      </c>
      <c r="FJ56" s="32">
        <v>5</v>
      </c>
      <c r="FK56" s="137">
        <f>VLOOKUP(FK$1,니케스팩!$M$2:$N$7,2,0)</f>
        <v>120</v>
      </c>
      <c r="FL56" s="32">
        <f>FK56*MIN(1,0.15+(SUM(버프정리!$J$21:$J$22)+SUM(버프정리!$P$21:$P$22))/2)/8</f>
        <v>5.2575000000000003</v>
      </c>
      <c r="FM56" s="32">
        <f>FL56*MIN(1,0.15+(버프정리!$J$21+버프정리!$P$21)/2)</f>
        <v>1.8427537500000002</v>
      </c>
      <c r="FN56" s="31"/>
      <c r="FO56" s="32"/>
      <c r="FP56" s="32">
        <v>1</v>
      </c>
      <c r="FQ56" s="137">
        <f>VLOOKUP(FQ$1,니케스팩!$M$2:$N$7,2,0)</f>
        <v>8.1300000000000008</v>
      </c>
      <c r="FR56" s="32">
        <f>FQ56</f>
        <v>8.1300000000000008</v>
      </c>
      <c r="FS56" s="32">
        <f>[1]니케스팩!$N$11</f>
        <v>0</v>
      </c>
      <c r="FT56" s="31">
        <f>FS56</f>
        <v>0</v>
      </c>
      <c r="FU56" s="32"/>
      <c r="FV56" s="32">
        <v>1</v>
      </c>
      <c r="FW56" s="137">
        <f>VLOOKUP(FW$1,니케스팩!$M$2:$N$7,2,0)</f>
        <v>8.1300000000000008</v>
      </c>
      <c r="FX56" s="32">
        <f>FW56</f>
        <v>8.1300000000000008</v>
      </c>
      <c r="FY56" s="32">
        <f>[1]니케스팩!$N$11</f>
        <v>0</v>
      </c>
      <c r="FZ56" s="31">
        <f>FY56</f>
        <v>0</v>
      </c>
      <c r="GA56" s="32">
        <v>6</v>
      </c>
      <c r="GB56" s="32"/>
      <c r="GC56" s="137">
        <f>VLOOKUP(GC$1,니케스팩!$M$2:$N$7,2,0)</f>
        <v>120</v>
      </c>
      <c r="GD56" s="32">
        <f>GC56*(0.15+MIN(1,SUM(버프정리!$J$21:$J$22)+SUM(버프정리!$P$21:$P$22))/2)/44*3</f>
        <v>2.8677272727272727</v>
      </c>
      <c r="GE56" s="32"/>
      <c r="GF56" s="31"/>
      <c r="GG56" s="32">
        <v>1</v>
      </c>
      <c r="GH56" s="32"/>
      <c r="GI56" s="137">
        <v>6</v>
      </c>
      <c r="GJ56" s="32">
        <v>10</v>
      </c>
      <c r="GK56" s="32"/>
      <c r="GL56" s="31"/>
      <c r="GM56" s="32">
        <v>1</v>
      </c>
      <c r="GN56" s="32"/>
      <c r="GO56" s="137">
        <v>6</v>
      </c>
      <c r="GP56" s="32">
        <v>10</v>
      </c>
      <c r="GQ56" s="32"/>
      <c r="GR56" s="31"/>
      <c r="GS56" s="32"/>
      <c r="GT56" s="32"/>
      <c r="GU56" s="137">
        <f>VLOOKUP(GU$1,니케스팩!$M$2:$N$7,2,0)/2</f>
        <v>60</v>
      </c>
      <c r="GV56" s="32">
        <f>GU56/30</f>
        <v>2</v>
      </c>
      <c r="GW56" s="32">
        <f>10/15</f>
        <v>0.66666666666666663</v>
      </c>
      <c r="GX56" s="31">
        <v>1</v>
      </c>
      <c r="GY56" s="32"/>
      <c r="GZ56" s="32"/>
      <c r="HA56" s="137">
        <f>VLOOKUP(HA$1,니케스팩!$M$2:$N$7,2,0)*0.8</f>
        <v>6.5040000000000013</v>
      </c>
      <c r="HB56" s="32">
        <v>1</v>
      </c>
      <c r="HC56" s="32"/>
      <c r="HD56" s="31"/>
      <c r="HE56" s="32"/>
      <c r="HF56" s="32"/>
      <c r="HG56" s="137">
        <f>VLOOKUP(HG$1,니케스팩!$M$2:$N$7,2,0)</f>
        <v>8.1300000000000008</v>
      </c>
      <c r="HH56" s="32">
        <v>5</v>
      </c>
      <c r="HI56" s="32"/>
      <c r="HJ56" s="31"/>
      <c r="HK56" s="32"/>
      <c r="HL56" s="32"/>
      <c r="HM56" s="137">
        <f>VLOOKUP(HM$1,니케스팩!$M$2:$N$7,2,0)</f>
        <v>550</v>
      </c>
      <c r="HN56" s="32">
        <f>10/6</f>
        <v>1.6666666666666667</v>
      </c>
      <c r="HO56" s="32"/>
      <c r="HP56" s="31"/>
      <c r="HQ56" s="32"/>
      <c r="HR56" s="32"/>
      <c r="HS56" s="137">
        <f>VLOOKUP(HS$1,니케스팩!$M$2:$N$7,2,0)</f>
        <v>550</v>
      </c>
      <c r="HT56" s="32">
        <f>HS56/60</f>
        <v>9.1666666666666661</v>
      </c>
      <c r="HU56" s="32">
        <f>HS56/60*메인!$C$4</f>
        <v>0</v>
      </c>
      <c r="HV56" s="31"/>
      <c r="HW56" s="32">
        <v>10</v>
      </c>
      <c r="HX56" s="32">
        <v>100</v>
      </c>
      <c r="HY56" s="137">
        <f>VLOOKUP(HY$1,니케스팩!$M$2:$N$7,2,0)</f>
        <v>120</v>
      </c>
      <c r="HZ56" s="32">
        <v>5</v>
      </c>
      <c r="IA56" s="32"/>
      <c r="IB56" s="31"/>
      <c r="IC56" s="32">
        <v>10</v>
      </c>
      <c r="ID56" s="32">
        <v>100</v>
      </c>
      <c r="IE56" s="137">
        <f>VLOOKUP(IE$1,니케스팩!$M$2:$N$7,2,0)</f>
        <v>120</v>
      </c>
      <c r="IF56" s="32">
        <v>10</v>
      </c>
      <c r="IG56" s="32"/>
      <c r="IH56" s="31"/>
      <c r="II56" s="32">
        <v>1</v>
      </c>
      <c r="IJ56" s="32"/>
      <c r="IK56" s="137">
        <f>VLOOKUP(IK$1,니케스팩!$M$2:$N$7,2,0)*2</f>
        <v>400</v>
      </c>
      <c r="IL56" s="32"/>
      <c r="IM56" s="32"/>
      <c r="IN56" s="31"/>
      <c r="IO56" s="32">
        <v>1</v>
      </c>
      <c r="IP56" s="32"/>
      <c r="IQ56" s="137">
        <f>VLOOKUP(IQ$1,니케스팩!$M$2:$N$7,2,0)</f>
        <v>120</v>
      </c>
      <c r="IR56" s="32"/>
      <c r="IS56" s="32"/>
      <c r="IT56" s="31"/>
      <c r="IU56" s="32">
        <v>10</v>
      </c>
      <c r="IV56" s="32"/>
      <c r="IW56" s="137">
        <f>VLOOKUP(IW$1,니케스팩!$M$2:$N$7,2,0)</f>
        <v>120</v>
      </c>
      <c r="IX56" s="32"/>
      <c r="IY56" s="32"/>
      <c r="IZ56" s="31"/>
      <c r="JA56" s="32"/>
      <c r="JB56" s="32"/>
      <c r="JC56" s="137">
        <v>7</v>
      </c>
      <c r="JD56" s="32">
        <f>JC56</f>
        <v>7</v>
      </c>
      <c r="JE56" s="32"/>
      <c r="JF56" s="31"/>
      <c r="JG56" s="32"/>
      <c r="JH56" s="32"/>
      <c r="JI56" s="137">
        <v>7</v>
      </c>
      <c r="JJ56" s="32">
        <v>10</v>
      </c>
      <c r="JK56" s="32"/>
      <c r="JL56" s="31"/>
      <c r="JM56" s="32">
        <v>1</v>
      </c>
      <c r="JN56" s="32"/>
      <c r="JO56" s="137">
        <f>VLOOKUP(JO$1,니케스팩!$M$2:$N$7,2,0)</f>
        <v>15.15</v>
      </c>
      <c r="JP56" s="32">
        <f>JO56</f>
        <v>15.15</v>
      </c>
      <c r="JQ56" s="32">
        <f>JO56</f>
        <v>15.15</v>
      </c>
      <c r="JR56" s="31"/>
      <c r="JS56" s="32"/>
      <c r="JT56" s="32"/>
      <c r="JU56" s="137">
        <v>4</v>
      </c>
      <c r="JV56" s="32">
        <v>1</v>
      </c>
      <c r="JW56" s="32">
        <v>10</v>
      </c>
      <c r="JX56" s="31"/>
      <c r="JY56" s="32"/>
      <c r="JZ56" s="32"/>
      <c r="KA56" s="137">
        <v>0</v>
      </c>
      <c r="KB56" s="32">
        <v>1</v>
      </c>
      <c r="KC56" s="32">
        <v>10</v>
      </c>
      <c r="KD56" s="31"/>
      <c r="KE56" s="32"/>
      <c r="KF56" s="32"/>
      <c r="KG56" s="137">
        <v>20</v>
      </c>
      <c r="KH56" s="32">
        <v>10</v>
      </c>
      <c r="KI56" s="32"/>
      <c r="KJ56" s="31"/>
      <c r="KK56" s="32">
        <v>1</v>
      </c>
      <c r="KL56" s="32">
        <v>1</v>
      </c>
      <c r="KM56" s="137">
        <f>VLOOKUP(KM$1,니케스팩!$M$2:$N$7,2,0)</f>
        <v>550</v>
      </c>
      <c r="KN56" s="32"/>
      <c r="KO56" s="32"/>
      <c r="KP56" s="31"/>
      <c r="KQ56" s="32"/>
      <c r="KR56" s="32"/>
      <c r="KS56" s="137">
        <v>24</v>
      </c>
      <c r="KT56" s="32">
        <f>KS56*10*(0.15+MIN(1,SUM(버프정리!$J$21:$J$22)+SUM(버프정리!$P$21:$P$22))/2)/4</f>
        <v>21.03</v>
      </c>
      <c r="KU56" s="32"/>
      <c r="KV56" s="31"/>
      <c r="KW56" s="32"/>
      <c r="KX56" s="32"/>
      <c r="KY56" s="137">
        <f>VLOOKUP(KY$1,니케스팩!$M$2:$N$7,2,0)</f>
        <v>550</v>
      </c>
      <c r="KZ56" s="32">
        <f>KY56/120</f>
        <v>4.583333333333333</v>
      </c>
      <c r="LA56" s="32">
        <f>KY56/120+1</f>
        <v>5.583333333333333</v>
      </c>
      <c r="LB56" s="31"/>
      <c r="LC56" s="32">
        <v>2</v>
      </c>
      <c r="LD56" s="32"/>
      <c r="LE56" s="137">
        <v>0</v>
      </c>
      <c r="LF56" s="32">
        <v>5</v>
      </c>
      <c r="LG56" s="32">
        <f>LF56</f>
        <v>5</v>
      </c>
      <c r="LH56" s="31">
        <f>LF56</f>
        <v>5</v>
      </c>
      <c r="LI56" s="32"/>
      <c r="LJ56" s="32"/>
      <c r="LK56" s="137">
        <f>VLOOKUP(LK$1,니케스팩!$M$2:$N$7,2,0)</f>
        <v>550</v>
      </c>
      <c r="LL56" s="32"/>
      <c r="LM56" s="32"/>
      <c r="LN56" s="31"/>
      <c r="LO56" s="32"/>
      <c r="LP56" s="32">
        <v>1</v>
      </c>
      <c r="LQ56" s="137">
        <v>7</v>
      </c>
      <c r="LR56" s="32">
        <f>LQ56*5</f>
        <v>35</v>
      </c>
      <c r="LS56" s="32"/>
      <c r="LT56" s="31"/>
      <c r="LU56" s="32"/>
      <c r="LV56" s="32"/>
      <c r="LW56" s="137">
        <f>VLOOKUP(LW$1,니케스팩!$M$2:$N$7,2,0)</f>
        <v>8.1300000000000008</v>
      </c>
      <c r="LX56" s="32">
        <v>9</v>
      </c>
      <c r="LY56" s="32">
        <v>9</v>
      </c>
      <c r="LZ56" s="31"/>
      <c r="MA56" s="32"/>
      <c r="MB56" s="32">
        <v>2</v>
      </c>
      <c r="MC56" s="137">
        <f>VLOOKUP(MC$1,니케스팩!$M$2:$N$7,2,0)</f>
        <v>15.15</v>
      </c>
      <c r="MD56" s="32">
        <f>MC56/5</f>
        <v>3.0300000000000002</v>
      </c>
      <c r="ME56" s="32"/>
      <c r="MF56" s="31"/>
      <c r="MG56" s="32"/>
      <c r="MH56" s="32"/>
      <c r="MI56" s="137">
        <f>VLOOKUP(MI$1,[2]니케스팩!$M$2:$N$7,2,0)</f>
        <v>120</v>
      </c>
      <c r="MJ56" s="32"/>
      <c r="MK56" s="32"/>
      <c r="ML56" s="31"/>
      <c r="MM56" s="32">
        <v>1</v>
      </c>
      <c r="MN56" s="32"/>
      <c r="MO56" s="137">
        <v>12</v>
      </c>
      <c r="MP56" s="32">
        <f>MO56</f>
        <v>12</v>
      </c>
      <c r="MQ56" s="32"/>
      <c r="MR56" s="31"/>
      <c r="MS56" s="32"/>
      <c r="MT56" s="32"/>
      <c r="MU56" s="137">
        <v>2</v>
      </c>
      <c r="MV56" s="32">
        <v>2</v>
      </c>
      <c r="MW56" s="32">
        <f>MV56+MU56</f>
        <v>4</v>
      </c>
      <c r="MX56" s="31">
        <f>MV56*15+MU56*5</f>
        <v>40</v>
      </c>
      <c r="MY56" s="32"/>
      <c r="MZ56" s="32"/>
      <c r="NA56" s="137">
        <f>VLOOKUP(NA$1,니케스팩!$M$2:$N$7,2,0)</f>
        <v>8.1300000000000008</v>
      </c>
      <c r="NB56" s="32"/>
      <c r="NC56" s="32"/>
      <c r="ND56" s="31"/>
      <c r="NE56" s="32"/>
      <c r="NF56" s="32"/>
      <c r="NG56" s="137" t="e">
        <f>VLOOKUP(NG$1,니케스팩!$M$2:$N$7,2,0)</f>
        <v>#N/A</v>
      </c>
      <c r="NH56" s="32"/>
      <c r="NI56" s="32"/>
      <c r="NJ56" s="31"/>
    </row>
    <row r="57" spans="1:374" x14ac:dyDescent="0.45">
      <c r="A57" s="274"/>
      <c r="B57" s="8" t="s">
        <v>249</v>
      </c>
      <c r="E57" s="138"/>
      <c r="K57" s="138">
        <v>1.5</v>
      </c>
      <c r="Q57" s="138">
        <v>1.5</v>
      </c>
      <c r="W57" s="138">
        <v>2</v>
      </c>
      <c r="X57" s="14">
        <f>W57</f>
        <v>2</v>
      </c>
      <c r="AC57" s="138"/>
      <c r="AI57" s="138"/>
      <c r="AO57" s="138"/>
      <c r="AU57" s="138"/>
      <c r="BA57" s="138"/>
      <c r="BG57" s="138">
        <v>2.5</v>
      </c>
      <c r="BH57" s="14">
        <f>BG57</f>
        <v>2.5</v>
      </c>
      <c r="BM57" s="138">
        <v>2.5</v>
      </c>
      <c r="BN57" s="14">
        <v>2.5</v>
      </c>
      <c r="BS57" s="138">
        <v>3.5</v>
      </c>
      <c r="BY57" s="138"/>
      <c r="CE57" s="138"/>
      <c r="CK57" s="138"/>
      <c r="CQ57" s="138"/>
      <c r="CW57" s="138"/>
      <c r="DC57" s="138">
        <v>2.5</v>
      </c>
      <c r="DI57" s="138">
        <v>2.5</v>
      </c>
      <c r="DO57" s="138"/>
      <c r="DU57" s="138"/>
      <c r="EA57" s="138">
        <v>2.5</v>
      </c>
      <c r="EG57" s="138">
        <v>2.5</v>
      </c>
      <c r="EM57" s="138">
        <v>2.5</v>
      </c>
      <c r="ES57" s="138"/>
      <c r="EY57" s="138"/>
      <c r="FE57" s="138"/>
      <c r="FK57" s="138"/>
      <c r="FQ57" s="138">
        <v>2.5</v>
      </c>
      <c r="FW57" s="138">
        <v>2.5</v>
      </c>
      <c r="GC57" s="138"/>
      <c r="GI57" s="138">
        <v>2.5</v>
      </c>
      <c r="GO57" s="138">
        <v>2.5</v>
      </c>
      <c r="GU57" s="138"/>
      <c r="GX57" s="15">
        <v>10</v>
      </c>
      <c r="HA57" s="138">
        <v>2.5</v>
      </c>
      <c r="HB57" s="14">
        <v>3</v>
      </c>
      <c r="HG57" s="138">
        <v>2.5</v>
      </c>
      <c r="HM57" s="138"/>
      <c r="HS57" s="138"/>
      <c r="HY57" s="138"/>
      <c r="IE57" s="138"/>
      <c r="IK57" s="138"/>
      <c r="IQ57" s="138"/>
      <c r="IW57" s="138"/>
      <c r="JC57" s="138">
        <v>2.5</v>
      </c>
      <c r="JI57" s="138">
        <v>2.5</v>
      </c>
      <c r="JO57" s="138"/>
      <c r="JU57" s="138">
        <v>2.5</v>
      </c>
      <c r="JV57" s="14">
        <v>17.5</v>
      </c>
      <c r="KA57" s="138">
        <v>2.5</v>
      </c>
      <c r="KB57" s="14">
        <v>17.5</v>
      </c>
      <c r="KG57" s="138"/>
      <c r="KM57" s="138"/>
      <c r="KS57" s="138"/>
      <c r="KY57" s="138"/>
      <c r="LE57" s="138"/>
      <c r="LF57" s="14">
        <v>2.5</v>
      </c>
      <c r="LK57" s="138"/>
      <c r="LQ57" s="138">
        <v>2.5</v>
      </c>
      <c r="LW57" s="138">
        <v>2.5</v>
      </c>
      <c r="MC57" s="138"/>
      <c r="MI57" s="138"/>
      <c r="MO57" s="138">
        <v>2</v>
      </c>
      <c r="MU57" s="138">
        <v>2.5</v>
      </c>
      <c r="MV57" s="14">
        <v>2.5</v>
      </c>
      <c r="NA57" s="138"/>
      <c r="NG57" s="138"/>
    </row>
    <row r="58" spans="1:374" s="7" customFormat="1" x14ac:dyDescent="0.45">
      <c r="A58" s="274"/>
      <c r="B58" s="7" t="s">
        <v>429</v>
      </c>
      <c r="C58" s="32"/>
      <c r="D58" s="32"/>
      <c r="E58" s="137"/>
      <c r="F58" s="32" t="s">
        <v>430</v>
      </c>
      <c r="G58" s="32"/>
      <c r="H58" s="31"/>
      <c r="I58" s="32"/>
      <c r="J58" s="32"/>
      <c r="K58" s="137">
        <v>0.3</v>
      </c>
      <c r="L58" s="32">
        <f>$K$58*3</f>
        <v>0.89999999999999991</v>
      </c>
      <c r="M58" s="32">
        <f>$K$58*3</f>
        <v>0.89999999999999991</v>
      </c>
      <c r="N58" s="31">
        <v>0.89999999999999991</v>
      </c>
      <c r="O58" s="32"/>
      <c r="P58" s="32"/>
      <c r="Q58" s="137">
        <v>0.3</v>
      </c>
      <c r="R58" s="32">
        <f>$Q$58*3</f>
        <v>0.89999999999999991</v>
      </c>
      <c r="S58" s="32">
        <f>$K$58*3</f>
        <v>0.89999999999999991</v>
      </c>
      <c r="T58" s="31">
        <v>0.89999999999999991</v>
      </c>
      <c r="U58" s="32"/>
      <c r="V58" s="32"/>
      <c r="W58" s="137">
        <v>1</v>
      </c>
      <c r="X58" s="14">
        <f t="shared" ref="X58:X59" si="5">W58</f>
        <v>1</v>
      </c>
      <c r="Y58" s="32"/>
      <c r="Z58" s="31"/>
      <c r="AA58" s="32"/>
      <c r="AB58" s="32"/>
      <c r="AC58" s="137"/>
      <c r="AD58" s="32"/>
      <c r="AE58" s="32"/>
      <c r="AF58" s="31"/>
      <c r="AG58" s="32"/>
      <c r="AH58" s="32"/>
      <c r="AI58" s="137"/>
      <c r="AJ58" s="32"/>
      <c r="AK58" s="32"/>
      <c r="AL58" s="31"/>
      <c r="AM58" s="32"/>
      <c r="AN58" s="32"/>
      <c r="AO58" s="137"/>
      <c r="AP58" s="32"/>
      <c r="AQ58" s="32"/>
      <c r="AR58" s="31"/>
      <c r="AS58" s="32"/>
      <c r="AT58" s="32"/>
      <c r="AU58" s="137"/>
      <c r="AV58" s="32"/>
      <c r="AW58" s="32"/>
      <c r="AX58" s="31"/>
      <c r="AY58" s="32"/>
      <c r="AZ58" s="32"/>
      <c r="BA58" s="137"/>
      <c r="BB58" s="32"/>
      <c r="BC58" s="32"/>
      <c r="BD58" s="31"/>
      <c r="BE58" s="32"/>
      <c r="BF58" s="32"/>
      <c r="BG58" s="137">
        <v>1</v>
      </c>
      <c r="BH58" s="32">
        <f>BG58</f>
        <v>1</v>
      </c>
      <c r="BI58" s="32"/>
      <c r="BJ58" s="31"/>
      <c r="BK58" s="32"/>
      <c r="BL58" s="32"/>
      <c r="BM58" s="137">
        <v>1</v>
      </c>
      <c r="BN58" s="32"/>
      <c r="BO58" s="32"/>
      <c r="BP58" s="31"/>
      <c r="BQ58" s="32"/>
      <c r="BR58" s="32"/>
      <c r="BS58" s="137">
        <v>1.5</v>
      </c>
      <c r="BT58" s="32"/>
      <c r="BU58" s="32"/>
      <c r="BV58" s="31"/>
      <c r="BW58" s="32"/>
      <c r="BX58" s="32"/>
      <c r="BY58" s="137"/>
      <c r="BZ58" s="32"/>
      <c r="CA58" s="32"/>
      <c r="CB58" s="31"/>
      <c r="CC58" s="32"/>
      <c r="CD58" s="32"/>
      <c r="CE58" s="137"/>
      <c r="CF58" s="32"/>
      <c r="CG58" s="32"/>
      <c r="CH58" s="31"/>
      <c r="CI58" s="32"/>
      <c r="CJ58" s="32"/>
      <c r="CK58" s="137"/>
      <c r="CL58" s="32"/>
      <c r="CM58" s="32"/>
      <c r="CN58" s="31"/>
      <c r="CO58" s="32"/>
      <c r="CP58" s="32"/>
      <c r="CQ58" s="137"/>
      <c r="CR58" s="32"/>
      <c r="CS58" s="32"/>
      <c r="CT58" s="31"/>
      <c r="CU58" s="32"/>
      <c r="CV58" s="32"/>
      <c r="CW58" s="137"/>
      <c r="CX58" s="32"/>
      <c r="CY58" s="32"/>
      <c r="CZ58" s="31"/>
      <c r="DA58" s="32"/>
      <c r="DB58" s="32"/>
      <c r="DC58" s="137">
        <v>1</v>
      </c>
      <c r="DD58" s="32"/>
      <c r="DE58" s="32"/>
      <c r="DF58" s="31"/>
      <c r="DG58" s="32"/>
      <c r="DH58" s="32"/>
      <c r="DI58" s="137">
        <v>1</v>
      </c>
      <c r="DJ58" s="32"/>
      <c r="DK58" s="32"/>
      <c r="DL58" s="31"/>
      <c r="DM58" s="32"/>
      <c r="DN58" s="32"/>
      <c r="DO58" s="137"/>
      <c r="DP58" s="32"/>
      <c r="DQ58" s="32"/>
      <c r="DR58" s="31"/>
      <c r="DS58" s="32"/>
      <c r="DT58" s="32"/>
      <c r="DU58" s="137"/>
      <c r="DV58" s="32"/>
      <c r="DW58" s="32"/>
      <c r="DX58" s="31"/>
      <c r="DY58" s="32"/>
      <c r="DZ58" s="32"/>
      <c r="EA58" s="137">
        <v>1</v>
      </c>
      <c r="EB58" s="32"/>
      <c r="EC58" s="32"/>
      <c r="ED58" s="31"/>
      <c r="EE58" s="32"/>
      <c r="EF58" s="32"/>
      <c r="EG58" s="137">
        <v>1</v>
      </c>
      <c r="EH58" s="32"/>
      <c r="EI58" s="32"/>
      <c r="EJ58" s="31"/>
      <c r="EK58" s="32"/>
      <c r="EL58" s="32"/>
      <c r="EM58" s="137">
        <v>1</v>
      </c>
      <c r="EN58" s="32"/>
      <c r="EO58" s="32"/>
      <c r="EP58" s="31"/>
      <c r="EQ58" s="32"/>
      <c r="ER58" s="32"/>
      <c r="ES58" s="137"/>
      <c r="ET58" s="32"/>
      <c r="EU58" s="32"/>
      <c r="EV58" s="31"/>
      <c r="EW58" s="32"/>
      <c r="EX58" s="32"/>
      <c r="EY58" s="137"/>
      <c r="EZ58" s="32"/>
      <c r="FA58" s="32"/>
      <c r="FB58" s="31"/>
      <c r="FC58" s="32"/>
      <c r="FD58" s="32"/>
      <c r="FE58" s="137"/>
      <c r="FF58" s="32"/>
      <c r="FG58" s="32"/>
      <c r="FH58" s="31"/>
      <c r="FI58" s="32"/>
      <c r="FJ58" s="32"/>
      <c r="FK58" s="137"/>
      <c r="FL58" s="32"/>
      <c r="FM58" s="32"/>
      <c r="FN58" s="31"/>
      <c r="FO58" s="32"/>
      <c r="FP58" s="32"/>
      <c r="FQ58" s="137">
        <v>1</v>
      </c>
      <c r="FR58" s="32"/>
      <c r="FS58" s="32"/>
      <c r="FT58" s="31"/>
      <c r="FU58" s="32"/>
      <c r="FV58" s="32"/>
      <c r="FW58" s="137">
        <v>1</v>
      </c>
      <c r="FX58" s="32"/>
      <c r="FY58" s="32"/>
      <c r="FZ58" s="31"/>
      <c r="GA58" s="32"/>
      <c r="GB58" s="32"/>
      <c r="GC58" s="137"/>
      <c r="GD58" s="32"/>
      <c r="GE58" s="32"/>
      <c r="GF58" s="31"/>
      <c r="GG58" s="32"/>
      <c r="GH58" s="32"/>
      <c r="GI58" s="137">
        <v>1</v>
      </c>
      <c r="GJ58" s="32"/>
      <c r="GK58" s="32"/>
      <c r="GL58" s="31"/>
      <c r="GM58" s="32"/>
      <c r="GN58" s="32"/>
      <c r="GO58" s="137">
        <v>1</v>
      </c>
      <c r="GP58" s="32"/>
      <c r="GQ58" s="32"/>
      <c r="GR58" s="31"/>
      <c r="GS58" s="32"/>
      <c r="GT58" s="32"/>
      <c r="GU58" s="137"/>
      <c r="GV58" s="32"/>
      <c r="GW58" s="32"/>
      <c r="GX58" s="31"/>
      <c r="GY58" s="32"/>
      <c r="GZ58" s="32"/>
      <c r="HA58" s="137">
        <v>1</v>
      </c>
      <c r="HB58" s="32">
        <v>2</v>
      </c>
      <c r="HC58" s="32"/>
      <c r="HD58" s="31"/>
      <c r="HE58" s="32"/>
      <c r="HF58" s="32"/>
      <c r="HG58" s="137">
        <v>1</v>
      </c>
      <c r="HH58" s="32"/>
      <c r="HI58" s="32"/>
      <c r="HJ58" s="31"/>
      <c r="HK58" s="32"/>
      <c r="HL58" s="32"/>
      <c r="HM58" s="137"/>
      <c r="HN58" s="32"/>
      <c r="HO58" s="32"/>
      <c r="HP58" s="31"/>
      <c r="HQ58" s="32"/>
      <c r="HR58" s="32"/>
      <c r="HS58" s="137"/>
      <c r="HT58" s="32"/>
      <c r="HU58" s="32"/>
      <c r="HV58" s="31"/>
      <c r="HW58" s="32"/>
      <c r="HX58" s="32"/>
      <c r="HY58" s="137"/>
      <c r="HZ58" s="32"/>
      <c r="IA58" s="32"/>
      <c r="IB58" s="31"/>
      <c r="IC58" s="32"/>
      <c r="ID58" s="32"/>
      <c r="IE58" s="137"/>
      <c r="IF58" s="32"/>
      <c r="IG58" s="32"/>
      <c r="IH58" s="31"/>
      <c r="II58" s="32"/>
      <c r="IJ58" s="32"/>
      <c r="IK58" s="137"/>
      <c r="IL58" s="32"/>
      <c r="IM58" s="32"/>
      <c r="IN58" s="31"/>
      <c r="IO58" s="32"/>
      <c r="IP58" s="32"/>
      <c r="IQ58" s="137"/>
      <c r="IR58" s="32"/>
      <c r="IS58" s="32"/>
      <c r="IT58" s="31"/>
      <c r="IU58" s="32"/>
      <c r="IV58" s="32"/>
      <c r="IW58" s="137"/>
      <c r="IX58" s="32"/>
      <c r="IY58" s="32"/>
      <c r="IZ58" s="31"/>
      <c r="JA58" s="32"/>
      <c r="JB58" s="32"/>
      <c r="JC58" s="137">
        <v>1</v>
      </c>
      <c r="JD58" s="32"/>
      <c r="JE58" s="32"/>
      <c r="JF58" s="31"/>
      <c r="JG58" s="32"/>
      <c r="JH58" s="32"/>
      <c r="JI58" s="137">
        <v>1</v>
      </c>
      <c r="JJ58" s="32">
        <f>10/(1.2+0.23)</f>
        <v>6.9930069930069934</v>
      </c>
      <c r="JK58" s="32"/>
      <c r="JL58" s="31"/>
      <c r="JM58" s="32"/>
      <c r="JN58" s="32"/>
      <c r="JO58" s="137"/>
      <c r="JP58" s="32"/>
      <c r="JQ58" s="32"/>
      <c r="JR58" s="31"/>
      <c r="JS58" s="32"/>
      <c r="JT58" s="32"/>
      <c r="JU58" s="137">
        <v>1</v>
      </c>
      <c r="JV58" s="32">
        <v>4</v>
      </c>
      <c r="JW58" s="32"/>
      <c r="JX58" s="31"/>
      <c r="JY58" s="32"/>
      <c r="JZ58" s="32"/>
      <c r="KA58" s="137">
        <v>1</v>
      </c>
      <c r="KB58" s="32">
        <v>4</v>
      </c>
      <c r="KC58" s="32"/>
      <c r="KD58" s="31"/>
      <c r="KE58" s="32"/>
      <c r="KF58" s="32"/>
      <c r="KG58" s="137"/>
      <c r="KH58" s="32"/>
      <c r="KI58" s="32"/>
      <c r="KJ58" s="31"/>
      <c r="KK58" s="32"/>
      <c r="KL58" s="32"/>
      <c r="KM58" s="137"/>
      <c r="KN58" s="32"/>
      <c r="KO58" s="32"/>
      <c r="KP58" s="31"/>
      <c r="KQ58" s="32"/>
      <c r="KR58" s="32"/>
      <c r="KS58" s="137"/>
      <c r="KT58" s="32"/>
      <c r="KU58" s="32"/>
      <c r="KV58" s="31"/>
      <c r="KW58" s="32"/>
      <c r="KX58" s="32"/>
      <c r="KY58" s="137"/>
      <c r="KZ58" s="32"/>
      <c r="LA58" s="32"/>
      <c r="LB58" s="31"/>
      <c r="LC58" s="32"/>
      <c r="LD58" s="32"/>
      <c r="LE58" s="137"/>
      <c r="LF58" s="32"/>
      <c r="LG58" s="32"/>
      <c r="LH58" s="31"/>
      <c r="LI58" s="32"/>
      <c r="LJ58" s="32"/>
      <c r="LK58" s="137"/>
      <c r="LL58" s="32"/>
      <c r="LM58" s="32"/>
      <c r="LN58" s="31"/>
      <c r="LO58" s="32"/>
      <c r="LP58" s="32"/>
      <c r="LQ58" s="137">
        <v>1.5</v>
      </c>
      <c r="LR58" s="32"/>
      <c r="LS58" s="32"/>
      <c r="LT58" s="31"/>
      <c r="LU58" s="32"/>
      <c r="LV58" s="32"/>
      <c r="LW58" s="137">
        <v>1</v>
      </c>
      <c r="LX58" s="32"/>
      <c r="LY58" s="32"/>
      <c r="LZ58" s="31"/>
      <c r="MA58" s="32"/>
      <c r="MB58" s="32"/>
      <c r="MC58" s="137"/>
      <c r="MD58" s="32"/>
      <c r="ME58" s="32"/>
      <c r="MF58" s="31"/>
      <c r="MG58" s="32"/>
      <c r="MH58" s="32"/>
      <c r="MI58" s="137"/>
      <c r="MJ58" s="32"/>
      <c r="MK58" s="32"/>
      <c r="ML58" s="31"/>
      <c r="MM58" s="32"/>
      <c r="MN58" s="32"/>
      <c r="MO58" s="137">
        <v>2</v>
      </c>
      <c r="MP58" s="32"/>
      <c r="MQ58" s="32"/>
      <c r="MR58" s="31"/>
      <c r="MS58" s="32"/>
      <c r="MT58" s="32"/>
      <c r="MU58" s="137">
        <v>1.2</v>
      </c>
      <c r="MV58" s="32">
        <v>3.2</v>
      </c>
      <c r="MW58" s="32"/>
      <c r="MX58" s="31"/>
      <c r="MY58" s="32"/>
      <c r="MZ58" s="32"/>
      <c r="NA58" s="137"/>
      <c r="NB58" s="32"/>
      <c r="NC58" s="32"/>
      <c r="ND58" s="31"/>
      <c r="NE58" s="32"/>
      <c r="NF58" s="32"/>
      <c r="NG58" s="137"/>
      <c r="NH58" s="32"/>
      <c r="NI58" s="32"/>
      <c r="NJ58" s="31"/>
    </row>
    <row r="59" spans="1:374" s="7" customFormat="1" x14ac:dyDescent="0.45">
      <c r="A59" s="274"/>
      <c r="B59" s="7" t="s">
        <v>228</v>
      </c>
      <c r="C59" s="32"/>
      <c r="D59" s="32"/>
      <c r="E59" s="137"/>
      <c r="F59" s="32"/>
      <c r="G59" s="32"/>
      <c r="H59" s="31"/>
      <c r="I59" s="32"/>
      <c r="J59" s="32"/>
      <c r="K59" s="137">
        <v>0.43</v>
      </c>
      <c r="L59" s="32">
        <f>$K$59*3</f>
        <v>1.29</v>
      </c>
      <c r="M59" s="32">
        <f>$K$59*3</f>
        <v>1.29</v>
      </c>
      <c r="N59" s="31">
        <v>1.29</v>
      </c>
      <c r="O59" s="32"/>
      <c r="P59" s="32"/>
      <c r="Q59" s="137">
        <v>0.43</v>
      </c>
      <c r="R59" s="32">
        <f>$Q$59*3</f>
        <v>1.29</v>
      </c>
      <c r="S59" s="32">
        <f>$K$59*3</f>
        <v>1.29</v>
      </c>
      <c r="T59" s="31">
        <v>1.29</v>
      </c>
      <c r="U59" s="32"/>
      <c r="V59" s="32"/>
      <c r="W59" s="137">
        <v>0.33</v>
      </c>
      <c r="X59" s="14">
        <f t="shared" si="5"/>
        <v>0.33</v>
      </c>
      <c r="Y59" s="32"/>
      <c r="Z59" s="31"/>
      <c r="AA59" s="32"/>
      <c r="AB59" s="32"/>
      <c r="AC59" s="137"/>
      <c r="AD59" s="32"/>
      <c r="AE59" s="32"/>
      <c r="AF59" s="31"/>
      <c r="AG59" s="32"/>
      <c r="AH59" s="32"/>
      <c r="AI59" s="137"/>
      <c r="AJ59" s="32"/>
      <c r="AK59" s="32"/>
      <c r="AL59" s="31"/>
      <c r="AM59" s="32"/>
      <c r="AN59" s="32"/>
      <c r="AO59" s="137"/>
      <c r="AP59" s="32"/>
      <c r="AQ59" s="32"/>
      <c r="AR59" s="31"/>
      <c r="AS59" s="32"/>
      <c r="AT59" s="32"/>
      <c r="AU59" s="137"/>
      <c r="AV59" s="32"/>
      <c r="AW59" s="32"/>
      <c r="AX59" s="31"/>
      <c r="AY59" s="32"/>
      <c r="AZ59" s="32"/>
      <c r="BA59" s="137"/>
      <c r="BB59" s="32"/>
      <c r="BC59" s="32"/>
      <c r="BD59" s="31"/>
      <c r="BE59" s="32"/>
      <c r="BF59" s="32"/>
      <c r="BG59" s="137">
        <v>0.23</v>
      </c>
      <c r="BH59" s="32">
        <f>BG59</f>
        <v>0.23</v>
      </c>
      <c r="BI59" s="32"/>
      <c r="BJ59" s="31"/>
      <c r="BK59" s="32"/>
      <c r="BL59" s="32"/>
      <c r="BM59" s="137">
        <v>0.23</v>
      </c>
      <c r="BN59" s="32"/>
      <c r="BO59" s="32"/>
      <c r="BP59" s="31"/>
      <c r="BQ59" s="32"/>
      <c r="BR59" s="32"/>
      <c r="BS59" s="137">
        <v>0.23</v>
      </c>
      <c r="BT59" s="32"/>
      <c r="BU59" s="32"/>
      <c r="BV59" s="31"/>
      <c r="BW59" s="32"/>
      <c r="BX59" s="32"/>
      <c r="BY59" s="137"/>
      <c r="BZ59" s="32"/>
      <c r="CA59" s="32"/>
      <c r="CB59" s="31"/>
      <c r="CC59" s="32"/>
      <c r="CD59" s="32"/>
      <c r="CE59" s="137"/>
      <c r="CF59" s="32"/>
      <c r="CG59" s="32"/>
      <c r="CH59" s="31"/>
      <c r="CI59" s="32"/>
      <c r="CJ59" s="32"/>
      <c r="CK59" s="137"/>
      <c r="CL59" s="32"/>
      <c r="CM59" s="32"/>
      <c r="CN59" s="31"/>
      <c r="CO59" s="32"/>
      <c r="CP59" s="32"/>
      <c r="CQ59" s="137"/>
      <c r="CR59" s="32"/>
      <c r="CS59" s="32"/>
      <c r="CT59" s="31"/>
      <c r="CU59" s="32"/>
      <c r="CV59" s="32"/>
      <c r="CW59" s="137"/>
      <c r="CX59" s="32"/>
      <c r="CY59" s="32"/>
      <c r="CZ59" s="31"/>
      <c r="DA59" s="32"/>
      <c r="DB59" s="32"/>
      <c r="DC59" s="137">
        <v>0.23</v>
      </c>
      <c r="DD59" s="32"/>
      <c r="DE59" s="32"/>
      <c r="DF59" s="31"/>
      <c r="DG59" s="32"/>
      <c r="DH59" s="32"/>
      <c r="DI59" s="137">
        <v>0.23</v>
      </c>
      <c r="DJ59" s="32"/>
      <c r="DK59" s="32"/>
      <c r="DL59" s="31"/>
      <c r="DM59" s="32"/>
      <c r="DN59" s="32"/>
      <c r="DO59" s="137"/>
      <c r="DP59" s="32"/>
      <c r="DQ59" s="32"/>
      <c r="DR59" s="31"/>
      <c r="DS59" s="32"/>
      <c r="DT59" s="32"/>
      <c r="DU59" s="137"/>
      <c r="DV59" s="32"/>
      <c r="DW59" s="32"/>
      <c r="DX59" s="31"/>
      <c r="DY59" s="32"/>
      <c r="DZ59" s="32"/>
      <c r="EA59" s="137"/>
      <c r="EB59" s="32"/>
      <c r="EC59" s="32"/>
      <c r="ED59" s="31"/>
      <c r="EE59" s="32"/>
      <c r="EF59" s="32"/>
      <c r="EG59" s="137"/>
      <c r="EH59" s="32"/>
      <c r="EI59" s="32"/>
      <c r="EJ59" s="31"/>
      <c r="EK59" s="32"/>
      <c r="EL59" s="32"/>
      <c r="EM59" s="137">
        <v>2.2999999999999998</v>
      </c>
      <c r="EN59" s="32"/>
      <c r="EO59" s="32"/>
      <c r="EP59" s="31"/>
      <c r="EQ59" s="32"/>
      <c r="ER59" s="32"/>
      <c r="ES59" s="137"/>
      <c r="ET59" s="32"/>
      <c r="EU59" s="32"/>
      <c r="EV59" s="31"/>
      <c r="EW59" s="32"/>
      <c r="EX59" s="32"/>
      <c r="EY59" s="137"/>
      <c r="EZ59" s="32"/>
      <c r="FA59" s="32"/>
      <c r="FB59" s="31"/>
      <c r="FC59" s="32"/>
      <c r="FD59" s="32"/>
      <c r="FE59" s="137"/>
      <c r="FF59" s="32"/>
      <c r="FG59" s="32"/>
      <c r="FH59" s="31"/>
      <c r="FI59" s="32"/>
      <c r="FJ59" s="32"/>
      <c r="FK59" s="137"/>
      <c r="FL59" s="32"/>
      <c r="FM59" s="32"/>
      <c r="FN59" s="31"/>
      <c r="FO59" s="32"/>
      <c r="FP59" s="32"/>
      <c r="FQ59" s="137">
        <v>0.23</v>
      </c>
      <c r="FR59" s="32"/>
      <c r="FS59" s="32"/>
      <c r="FT59" s="31"/>
      <c r="FU59" s="32"/>
      <c r="FV59" s="32"/>
      <c r="FW59" s="137">
        <v>0.23</v>
      </c>
      <c r="FX59" s="32"/>
      <c r="FY59" s="32"/>
      <c r="FZ59" s="31"/>
      <c r="GA59" s="32"/>
      <c r="GB59" s="32"/>
      <c r="GC59" s="137"/>
      <c r="GD59" s="32"/>
      <c r="GE59" s="32"/>
      <c r="GF59" s="31"/>
      <c r="GG59" s="32"/>
      <c r="GH59" s="32"/>
      <c r="GI59" s="137"/>
      <c r="GJ59" s="32"/>
      <c r="GK59" s="32"/>
      <c r="GL59" s="31"/>
      <c r="GM59" s="32"/>
      <c r="GN59" s="32"/>
      <c r="GO59" s="137"/>
      <c r="GP59" s="32"/>
      <c r="GQ59" s="32"/>
      <c r="GR59" s="31"/>
      <c r="GS59" s="32"/>
      <c r="GT59" s="32"/>
      <c r="GU59" s="137"/>
      <c r="GV59" s="32"/>
      <c r="GW59" s="32"/>
      <c r="GX59" s="31"/>
      <c r="GY59" s="32"/>
      <c r="GZ59" s="32"/>
      <c r="HA59" s="137">
        <v>0.23</v>
      </c>
      <c r="HB59" s="32"/>
      <c r="HC59" s="32"/>
      <c r="HD59" s="31"/>
      <c r="HE59" s="32"/>
      <c r="HF59" s="32"/>
      <c r="HG59" s="137">
        <v>0.23</v>
      </c>
      <c r="HH59" s="32"/>
      <c r="HI59" s="32"/>
      <c r="HJ59" s="31"/>
      <c r="HK59" s="32"/>
      <c r="HL59" s="32"/>
      <c r="HM59" s="137"/>
      <c r="HN59" s="32"/>
      <c r="HO59" s="32"/>
      <c r="HP59" s="31"/>
      <c r="HQ59" s="32"/>
      <c r="HR59" s="32"/>
      <c r="HS59" s="137"/>
      <c r="HT59" s="32"/>
      <c r="HU59" s="32"/>
      <c r="HV59" s="31"/>
      <c r="HW59" s="32"/>
      <c r="HX59" s="32"/>
      <c r="HY59" s="137"/>
      <c r="HZ59" s="32"/>
      <c r="IA59" s="32"/>
      <c r="IB59" s="31"/>
      <c r="IC59" s="32"/>
      <c r="ID59" s="32"/>
      <c r="IE59" s="137"/>
      <c r="IF59" s="32"/>
      <c r="IG59" s="32"/>
      <c r="IH59" s="31"/>
      <c r="II59" s="32"/>
      <c r="IJ59" s="32"/>
      <c r="IK59" s="137"/>
      <c r="IL59" s="32"/>
      <c r="IM59" s="32"/>
      <c r="IN59" s="31"/>
      <c r="IO59" s="32"/>
      <c r="IP59" s="32"/>
      <c r="IQ59" s="137"/>
      <c r="IR59" s="32"/>
      <c r="IS59" s="32"/>
      <c r="IT59" s="31"/>
      <c r="IU59" s="32"/>
      <c r="IV59" s="32"/>
      <c r="IW59" s="137"/>
      <c r="IX59" s="32"/>
      <c r="IY59" s="32"/>
      <c r="IZ59" s="31"/>
      <c r="JA59" s="32"/>
      <c r="JB59" s="32"/>
      <c r="JC59" s="137">
        <v>0.23</v>
      </c>
      <c r="JD59" s="32"/>
      <c r="JE59" s="32"/>
      <c r="JF59" s="31"/>
      <c r="JG59" s="32"/>
      <c r="JH59" s="32"/>
      <c r="JI59" s="137">
        <v>0.23</v>
      </c>
      <c r="JJ59" s="32"/>
      <c r="JK59" s="32"/>
      <c r="JL59" s="31"/>
      <c r="JM59" s="32"/>
      <c r="JN59" s="32"/>
      <c r="JO59" s="137"/>
      <c r="JP59" s="32"/>
      <c r="JQ59" s="32"/>
      <c r="JR59" s="31"/>
      <c r="JS59" s="32"/>
      <c r="JT59" s="32"/>
      <c r="JU59" s="137">
        <v>0.23</v>
      </c>
      <c r="JV59" s="32">
        <v>0.23</v>
      </c>
      <c r="JW59" s="32"/>
      <c r="JX59" s="31"/>
      <c r="JY59" s="32"/>
      <c r="JZ59" s="32"/>
      <c r="KA59" s="137">
        <v>0.23</v>
      </c>
      <c r="KB59" s="32">
        <v>0.23</v>
      </c>
      <c r="KC59" s="32"/>
      <c r="KD59" s="31"/>
      <c r="KE59" s="32"/>
      <c r="KF59" s="32"/>
      <c r="KG59" s="137"/>
      <c r="KH59" s="32"/>
      <c r="KI59" s="32"/>
      <c r="KJ59" s="31"/>
      <c r="KK59" s="32"/>
      <c r="KL59" s="32"/>
      <c r="KM59" s="137"/>
      <c r="KN59" s="32"/>
      <c r="KO59" s="32"/>
      <c r="KP59" s="31"/>
      <c r="KQ59" s="32"/>
      <c r="KR59" s="32"/>
      <c r="KS59" s="137"/>
      <c r="KT59" s="32"/>
      <c r="KU59" s="32"/>
      <c r="KV59" s="31"/>
      <c r="KW59" s="32"/>
      <c r="KX59" s="32"/>
      <c r="KY59" s="137"/>
      <c r="KZ59" s="32"/>
      <c r="LA59" s="32"/>
      <c r="LB59" s="31"/>
      <c r="LC59" s="32"/>
      <c r="LD59" s="32"/>
      <c r="LE59" s="137"/>
      <c r="LF59" s="32"/>
      <c r="LG59" s="32"/>
      <c r="LH59" s="31"/>
      <c r="LI59" s="32"/>
      <c r="LJ59" s="32"/>
      <c r="LK59" s="137"/>
      <c r="LL59" s="32"/>
      <c r="LM59" s="32"/>
      <c r="LN59" s="31"/>
      <c r="LO59" s="32"/>
      <c r="LP59" s="32"/>
      <c r="LQ59" s="137"/>
      <c r="LR59" s="32"/>
      <c r="LS59" s="32"/>
      <c r="LT59" s="31"/>
      <c r="LU59" s="32"/>
      <c r="LV59" s="32"/>
      <c r="LW59" s="137"/>
      <c r="LX59" s="32"/>
      <c r="LY59" s="32"/>
      <c r="LZ59" s="31"/>
      <c r="MA59" s="32"/>
      <c r="MB59" s="32"/>
      <c r="MC59" s="137"/>
      <c r="MD59" s="32"/>
      <c r="ME59" s="32"/>
      <c r="MF59" s="31"/>
      <c r="MG59" s="32"/>
      <c r="MH59" s="32"/>
      <c r="MI59" s="137"/>
      <c r="MJ59" s="32"/>
      <c r="MK59" s="32"/>
      <c r="ML59" s="31"/>
      <c r="MM59" s="32"/>
      <c r="MN59" s="32"/>
      <c r="MO59" s="137"/>
      <c r="MP59" s="32"/>
      <c r="MQ59" s="32"/>
      <c r="MR59" s="31"/>
      <c r="MS59" s="32"/>
      <c r="MT59" s="32"/>
      <c r="MU59" s="137"/>
      <c r="MV59" s="32"/>
      <c r="MW59" s="32"/>
      <c r="MX59" s="31"/>
      <c r="MY59" s="32"/>
      <c r="MZ59" s="32"/>
      <c r="NA59" s="137"/>
      <c r="NB59" s="32"/>
      <c r="NC59" s="32"/>
      <c r="ND59" s="31"/>
      <c r="NE59" s="32"/>
      <c r="NF59" s="32"/>
      <c r="NG59" s="137"/>
      <c r="NH59" s="32"/>
      <c r="NI59" s="32"/>
      <c r="NJ59" s="31"/>
    </row>
    <row r="60" spans="1:374" s="7" customFormat="1" x14ac:dyDescent="0.45">
      <c r="A60" s="274"/>
      <c r="B60" s="7" t="s">
        <v>431</v>
      </c>
      <c r="C60" s="32"/>
      <c r="D60" s="32"/>
      <c r="E60" s="137">
        <v>300</v>
      </c>
      <c r="F60" s="32">
        <f>E60/60</f>
        <v>5</v>
      </c>
      <c r="G60" s="32"/>
      <c r="H60" s="31"/>
      <c r="I60" s="32"/>
      <c r="J60" s="32"/>
      <c r="K60" s="137">
        <v>9</v>
      </c>
      <c r="L60" s="32"/>
      <c r="M60" s="32"/>
      <c r="N60" s="31"/>
      <c r="O60" s="32"/>
      <c r="P60" s="32"/>
      <c r="Q60" s="137">
        <v>9</v>
      </c>
      <c r="R60" s="32"/>
      <c r="S60" s="32"/>
      <c r="T60" s="31"/>
      <c r="U60" s="32"/>
      <c r="V60" s="32"/>
      <c r="W60" s="137">
        <v>24</v>
      </c>
      <c r="X60" s="32"/>
      <c r="Y60" s="32"/>
      <c r="Z60" s="31"/>
      <c r="AA60" s="32"/>
      <c r="AB60" s="32"/>
      <c r="AC60" s="137">
        <v>300</v>
      </c>
      <c r="AD60" s="32"/>
      <c r="AE60" s="32"/>
      <c r="AF60" s="31"/>
      <c r="AG60" s="32"/>
      <c r="AH60" s="32"/>
      <c r="AI60" s="137">
        <v>300</v>
      </c>
      <c r="AJ60" s="32"/>
      <c r="AK60" s="32"/>
      <c r="AL60" s="31"/>
      <c r="AM60" s="32"/>
      <c r="AN60" s="32"/>
      <c r="AO60" s="137">
        <v>300</v>
      </c>
      <c r="AP60" s="32"/>
      <c r="AQ60" s="32"/>
      <c r="AR60" s="31"/>
      <c r="AS60" s="32"/>
      <c r="AT60" s="32"/>
      <c r="AU60" s="137">
        <f>9*80/125</f>
        <v>5.76</v>
      </c>
      <c r="AV60" s="32">
        <f>9*45/125</f>
        <v>3.24</v>
      </c>
      <c r="AW60" s="32"/>
      <c r="AX60" s="31"/>
      <c r="AY60" s="32"/>
      <c r="AZ60" s="32"/>
      <c r="BA60" s="137">
        <f>9*80/140</f>
        <v>5.1428571428571432</v>
      </c>
      <c r="BB60" s="32">
        <f>9*60/140</f>
        <v>3.8571428571428572</v>
      </c>
      <c r="BC60" s="32"/>
      <c r="BD60" s="31"/>
      <c r="BE60" s="32"/>
      <c r="BF60" s="32"/>
      <c r="BG60" s="137">
        <v>6</v>
      </c>
      <c r="BH60" s="32"/>
      <c r="BI60" s="32"/>
      <c r="BJ60" s="31"/>
      <c r="BK60" s="32"/>
      <c r="BL60" s="32"/>
      <c r="BM60" s="137">
        <v>6</v>
      </c>
      <c r="BN60" s="32"/>
      <c r="BO60" s="32"/>
      <c r="BP60" s="31"/>
      <c r="BQ60" s="32"/>
      <c r="BR60" s="32"/>
      <c r="BS60" s="137">
        <v>6</v>
      </c>
      <c r="BT60" s="32"/>
      <c r="BU60" s="32"/>
      <c r="BV60" s="31"/>
      <c r="BW60" s="32"/>
      <c r="BX60" s="32"/>
      <c r="BY60" s="137">
        <v>9</v>
      </c>
      <c r="BZ60" s="32"/>
      <c r="CA60" s="32"/>
      <c r="CB60" s="31"/>
      <c r="CC60" s="32"/>
      <c r="CD60" s="32"/>
      <c r="CE60" s="137">
        <v>300</v>
      </c>
      <c r="CF60" s="32">
        <f>CE60/60</f>
        <v>5</v>
      </c>
      <c r="CG60" s="32">
        <f>CE60/60</f>
        <v>5</v>
      </c>
      <c r="CH60" s="31"/>
      <c r="CI60" s="32"/>
      <c r="CJ60" s="32"/>
      <c r="CK60" s="137">
        <v>9</v>
      </c>
      <c r="CL60" s="32"/>
      <c r="CM60" s="32"/>
      <c r="CN60" s="31"/>
      <c r="CO60" s="32"/>
      <c r="CP60" s="32"/>
      <c r="CQ60" s="137">
        <v>5</v>
      </c>
      <c r="CR60" s="32"/>
      <c r="CS60" s="32"/>
      <c r="CT60" s="31"/>
      <c r="CU60" s="32"/>
      <c r="CV60" s="32"/>
      <c r="CW60" s="137">
        <v>5</v>
      </c>
      <c r="CX60" s="32"/>
      <c r="CY60" s="32"/>
      <c r="CZ60" s="31"/>
      <c r="DA60" s="32"/>
      <c r="DB60" s="32"/>
      <c r="DC60" s="137">
        <v>6</v>
      </c>
      <c r="DD60" s="32"/>
      <c r="DE60" s="32"/>
      <c r="DF60" s="31"/>
      <c r="DG60" s="32"/>
      <c r="DH60" s="32"/>
      <c r="DI60" s="137">
        <v>6</v>
      </c>
      <c r="DJ60" s="32"/>
      <c r="DK60" s="32"/>
      <c r="DL60" s="31"/>
      <c r="DM60" s="32"/>
      <c r="DN60" s="32"/>
      <c r="DO60" s="137">
        <v>20</v>
      </c>
      <c r="DP60" s="32"/>
      <c r="DQ60" s="32"/>
      <c r="DR60" s="31"/>
      <c r="DS60" s="32"/>
      <c r="DT60" s="32"/>
      <c r="DU60" s="137">
        <v>300</v>
      </c>
      <c r="DV60" s="32"/>
      <c r="DW60" s="32"/>
      <c r="DX60" s="31"/>
      <c r="DY60" s="32"/>
      <c r="DZ60" s="32"/>
      <c r="EA60" s="137">
        <v>6</v>
      </c>
      <c r="EB60" s="32"/>
      <c r="EC60" s="32"/>
      <c r="ED60" s="31"/>
      <c r="EE60" s="32"/>
      <c r="EF60" s="32"/>
      <c r="EG60" s="137">
        <v>6</v>
      </c>
      <c r="EH60" s="32"/>
      <c r="EI60" s="32"/>
      <c r="EJ60" s="31"/>
      <c r="EK60" s="32"/>
      <c r="EL60" s="32"/>
      <c r="EM60" s="137">
        <v>6</v>
      </c>
      <c r="EN60" s="32"/>
      <c r="EO60" s="32"/>
      <c r="EP60" s="31"/>
      <c r="EQ60" s="32"/>
      <c r="ER60" s="32"/>
      <c r="ES60" s="137">
        <v>9</v>
      </c>
      <c r="ET60" s="32"/>
      <c r="EU60" s="32"/>
      <c r="EV60" s="31"/>
      <c r="EW60" s="32"/>
      <c r="EX60" s="32"/>
      <c r="EY60" s="137">
        <v>9</v>
      </c>
      <c r="EZ60" s="32"/>
      <c r="FA60" s="32"/>
      <c r="FB60" s="31"/>
      <c r="FC60" s="32"/>
      <c r="FD60" s="32"/>
      <c r="FE60" s="137">
        <v>60</v>
      </c>
      <c r="FF60" s="32"/>
      <c r="FG60" s="32"/>
      <c r="FH60" s="31"/>
      <c r="FI60" s="32"/>
      <c r="FJ60" s="32"/>
      <c r="FK60" s="137">
        <v>60</v>
      </c>
      <c r="FL60" s="32"/>
      <c r="FM60" s="32"/>
      <c r="FN60" s="31"/>
      <c r="FO60" s="32"/>
      <c r="FP60" s="32"/>
      <c r="FQ60" s="137">
        <v>6</v>
      </c>
      <c r="FR60" s="32"/>
      <c r="FS60" s="32"/>
      <c r="FT60" s="31"/>
      <c r="FU60" s="32"/>
      <c r="FV60" s="32"/>
      <c r="FW60" s="137">
        <v>6</v>
      </c>
      <c r="FX60" s="32"/>
      <c r="FY60" s="32"/>
      <c r="FZ60" s="31"/>
      <c r="GA60" s="32"/>
      <c r="GB60" s="32"/>
      <c r="GC60" s="137">
        <v>60</v>
      </c>
      <c r="GD60" s="32"/>
      <c r="GE60" s="32"/>
      <c r="GF60" s="31"/>
      <c r="GG60" s="32"/>
      <c r="GH60" s="32"/>
      <c r="GI60" s="137">
        <v>6</v>
      </c>
      <c r="GJ60" s="32"/>
      <c r="GK60" s="32"/>
      <c r="GL60" s="31"/>
      <c r="GM60" s="32"/>
      <c r="GN60" s="32"/>
      <c r="GO60" s="137">
        <v>6</v>
      </c>
      <c r="GP60" s="32"/>
      <c r="GQ60" s="32"/>
      <c r="GR60" s="31"/>
      <c r="GS60" s="32"/>
      <c r="GT60" s="32"/>
      <c r="GU60" s="137"/>
      <c r="GV60" s="32"/>
      <c r="GW60" s="32"/>
      <c r="GX60" s="31">
        <v>1</v>
      </c>
      <c r="GY60" s="32"/>
      <c r="GZ60" s="32"/>
      <c r="HA60" s="137">
        <v>6</v>
      </c>
      <c r="HB60" s="32">
        <v>1</v>
      </c>
      <c r="HC60" s="32"/>
      <c r="HD60" s="31"/>
      <c r="HE60" s="32"/>
      <c r="HF60" s="32"/>
      <c r="HG60" s="137">
        <v>6</v>
      </c>
      <c r="HH60" s="32"/>
      <c r="HI60" s="32"/>
      <c r="HJ60" s="31"/>
      <c r="HK60" s="32"/>
      <c r="HL60" s="32"/>
      <c r="HM60" s="137">
        <v>300</v>
      </c>
      <c r="HN60" s="32"/>
      <c r="HO60" s="32"/>
      <c r="HP60" s="31"/>
      <c r="HQ60" s="32"/>
      <c r="HR60" s="32"/>
      <c r="HS60" s="137">
        <v>300</v>
      </c>
      <c r="HT60" s="32"/>
      <c r="HU60" s="32"/>
      <c r="HV60" s="31"/>
      <c r="HW60" s="32"/>
      <c r="HX60" s="32"/>
      <c r="HY60" s="137">
        <v>60</v>
      </c>
      <c r="HZ60" s="32"/>
      <c r="IA60" s="32"/>
      <c r="IB60" s="31"/>
      <c r="IC60" s="32"/>
      <c r="ID60" s="32"/>
      <c r="IE60" s="137">
        <v>60</v>
      </c>
      <c r="IF60" s="32"/>
      <c r="IG60" s="32"/>
      <c r="IH60" s="31"/>
      <c r="II60" s="32"/>
      <c r="IJ60" s="32"/>
      <c r="IK60" s="137">
        <v>120</v>
      </c>
      <c r="IL60" s="32"/>
      <c r="IM60" s="32"/>
      <c r="IN60" s="31"/>
      <c r="IO60" s="32"/>
      <c r="IP60" s="32"/>
      <c r="IQ60" s="137">
        <v>60</v>
      </c>
      <c r="IR60" s="32"/>
      <c r="IS60" s="32"/>
      <c r="IT60" s="31"/>
      <c r="IU60" s="32"/>
      <c r="IV60" s="32"/>
      <c r="IW60" s="137">
        <v>60</v>
      </c>
      <c r="IX60" s="32"/>
      <c r="IY60" s="32"/>
      <c r="IZ60" s="31"/>
      <c r="JA60" s="32"/>
      <c r="JB60" s="32"/>
      <c r="JC60" s="137">
        <v>6</v>
      </c>
      <c r="JD60" s="32"/>
      <c r="JE60" s="32"/>
      <c r="JF60" s="31"/>
      <c r="JG60" s="32"/>
      <c r="JH60" s="32"/>
      <c r="JI60" s="137">
        <v>6</v>
      </c>
      <c r="JJ60" s="32"/>
      <c r="JK60" s="32"/>
      <c r="JL60" s="31"/>
      <c r="JM60" s="32"/>
      <c r="JN60" s="32"/>
      <c r="JO60" s="137">
        <v>9</v>
      </c>
      <c r="JP60" s="32"/>
      <c r="JQ60" s="32"/>
      <c r="JR60" s="31"/>
      <c r="JS60" s="32"/>
      <c r="JT60" s="32"/>
      <c r="JU60" s="137">
        <v>6</v>
      </c>
      <c r="JV60" s="32"/>
      <c r="JW60" s="32"/>
      <c r="JX60" s="31"/>
      <c r="JY60" s="32"/>
      <c r="JZ60" s="32"/>
      <c r="KA60" s="137">
        <v>6</v>
      </c>
      <c r="KB60" s="32"/>
      <c r="KC60" s="32"/>
      <c r="KD60" s="31"/>
      <c r="KE60" s="32"/>
      <c r="KF60" s="32"/>
      <c r="KG60" s="137">
        <v>9</v>
      </c>
      <c r="KH60" s="32"/>
      <c r="KI60" s="32"/>
      <c r="KJ60" s="31"/>
      <c r="KK60" s="32"/>
      <c r="KL60" s="32"/>
      <c r="KM60" s="137"/>
      <c r="KN60" s="32"/>
      <c r="KO60" s="32"/>
      <c r="KP60" s="31"/>
      <c r="KQ60" s="32"/>
      <c r="KR60" s="32"/>
      <c r="KS60" s="137"/>
      <c r="KT60" s="32"/>
      <c r="KU60" s="32"/>
      <c r="KV60" s="31"/>
      <c r="KW60" s="32"/>
      <c r="KX60" s="32"/>
      <c r="KY60" s="137">
        <v>300</v>
      </c>
      <c r="KZ60" s="32">
        <f>KY60/60</f>
        <v>5</v>
      </c>
      <c r="LA60" s="32"/>
      <c r="LB60" s="31"/>
      <c r="LC60" s="32"/>
      <c r="LD60" s="32"/>
      <c r="LE60" s="137">
        <v>120</v>
      </c>
      <c r="LF60" s="32"/>
      <c r="LG60" s="32"/>
      <c r="LH60" s="31"/>
      <c r="LI60" s="32"/>
      <c r="LJ60" s="32"/>
      <c r="LK60" s="137"/>
      <c r="LL60" s="32"/>
      <c r="LM60" s="32"/>
      <c r="LN60" s="31"/>
      <c r="LO60" s="32"/>
      <c r="LP60" s="32"/>
      <c r="LQ60" s="137">
        <v>6</v>
      </c>
      <c r="LR60" s="32"/>
      <c r="LS60" s="32"/>
      <c r="LT60" s="31"/>
      <c r="LU60" s="32"/>
      <c r="LV60" s="32"/>
      <c r="LW60" s="137">
        <v>6</v>
      </c>
      <c r="LX60" s="32"/>
      <c r="LY60" s="32"/>
      <c r="LZ60" s="31"/>
      <c r="MA60" s="32"/>
      <c r="MB60" s="32"/>
      <c r="MC60" s="137">
        <v>9</v>
      </c>
      <c r="MD60" s="32"/>
      <c r="ME60" s="32"/>
      <c r="MF60" s="31"/>
      <c r="MG60" s="32"/>
      <c r="MH60" s="32"/>
      <c r="MI60" s="137"/>
      <c r="MJ60" s="32"/>
      <c r="MK60" s="32"/>
      <c r="ML60" s="31"/>
      <c r="MM60" s="32"/>
      <c r="MN60" s="32"/>
      <c r="MO60" s="137"/>
      <c r="MP60" s="32"/>
      <c r="MQ60" s="32"/>
      <c r="MR60" s="31"/>
      <c r="MS60" s="32"/>
      <c r="MT60" s="32"/>
      <c r="MU60" s="137">
        <v>6</v>
      </c>
      <c r="MV60" s="32">
        <v>2</v>
      </c>
      <c r="MW60" s="32"/>
      <c r="MX60" s="31"/>
      <c r="MY60" s="32"/>
      <c r="MZ60" s="32"/>
      <c r="NA60" s="137"/>
      <c r="NB60" s="32"/>
      <c r="NC60" s="32"/>
      <c r="ND60" s="31"/>
      <c r="NE60" s="32"/>
      <c r="NF60" s="32"/>
      <c r="NG60" s="137"/>
      <c r="NH60" s="32"/>
      <c r="NI60" s="32"/>
      <c r="NJ60" s="31"/>
    </row>
    <row r="61" spans="1:374" s="7" customFormat="1" x14ac:dyDescent="0.45">
      <c r="A61" s="274"/>
      <c r="B61" s="7" t="s">
        <v>432</v>
      </c>
      <c r="C61" s="32"/>
      <c r="D61" s="32"/>
      <c r="E61" s="188">
        <v>2.5</v>
      </c>
      <c r="F61" s="189">
        <f>E61</f>
        <v>2.5</v>
      </c>
      <c r="G61" s="189"/>
      <c r="H61" s="190"/>
      <c r="I61" s="32"/>
      <c r="J61" s="32"/>
      <c r="K61" s="188">
        <v>2</v>
      </c>
      <c r="L61" s="189"/>
      <c r="M61" s="189"/>
      <c r="N61" s="190"/>
      <c r="O61" s="32"/>
      <c r="P61" s="32"/>
      <c r="Q61" s="188">
        <v>2</v>
      </c>
      <c r="R61" s="189"/>
      <c r="S61" s="189"/>
      <c r="T61" s="190"/>
      <c r="U61" s="32"/>
      <c r="V61" s="32"/>
      <c r="W61" s="188">
        <v>2</v>
      </c>
      <c r="X61" s="189"/>
      <c r="Y61" s="189"/>
      <c r="Z61" s="190"/>
      <c r="AA61" s="32"/>
      <c r="AB61" s="32"/>
      <c r="AC61" s="188">
        <v>2.5</v>
      </c>
      <c r="AD61" s="189"/>
      <c r="AE61" s="189"/>
      <c r="AF61" s="190"/>
      <c r="AG61" s="32"/>
      <c r="AH61" s="32"/>
      <c r="AI61" s="188">
        <v>2.5</v>
      </c>
      <c r="AJ61" s="189"/>
      <c r="AK61" s="189"/>
      <c r="AL61" s="190"/>
      <c r="AM61" s="32"/>
      <c r="AN61" s="32"/>
      <c r="AO61" s="188">
        <v>2.5</v>
      </c>
      <c r="AP61" s="189"/>
      <c r="AQ61" s="189"/>
      <c r="AR61" s="190"/>
      <c r="AS61" s="32"/>
      <c r="AT61" s="32"/>
      <c r="AU61" s="188">
        <v>1.5</v>
      </c>
      <c r="AV61" s="189">
        <v>1.5</v>
      </c>
      <c r="AW61" s="189"/>
      <c r="AX61" s="190"/>
      <c r="AY61" s="32"/>
      <c r="AZ61" s="32"/>
      <c r="BA61" s="188">
        <v>1.5</v>
      </c>
      <c r="BB61" s="189">
        <v>1.5</v>
      </c>
      <c r="BC61" s="189"/>
      <c r="BD61" s="190"/>
      <c r="BE61" s="32"/>
      <c r="BF61" s="32"/>
      <c r="BG61" s="188">
        <v>2</v>
      </c>
      <c r="BH61" s="189"/>
      <c r="BI61" s="189"/>
      <c r="BJ61" s="190"/>
      <c r="BK61" s="32"/>
      <c r="BL61" s="32"/>
      <c r="BM61" s="188">
        <v>2</v>
      </c>
      <c r="BN61" s="189">
        <v>0</v>
      </c>
      <c r="BO61" s="189"/>
      <c r="BP61" s="190"/>
      <c r="BQ61" s="32"/>
      <c r="BR61" s="32"/>
      <c r="BS61" s="188">
        <v>2</v>
      </c>
      <c r="BT61" s="189"/>
      <c r="BU61" s="189"/>
      <c r="BV61" s="190"/>
      <c r="BW61" s="32"/>
      <c r="BX61" s="32"/>
      <c r="BY61" s="188">
        <v>1.86</v>
      </c>
      <c r="BZ61" s="189"/>
      <c r="CA61" s="189"/>
      <c r="CB61" s="190"/>
      <c r="CC61" s="32"/>
      <c r="CD61" s="32"/>
      <c r="CE61" s="188">
        <v>3</v>
      </c>
      <c r="CF61" s="189">
        <f>CE61</f>
        <v>3</v>
      </c>
      <c r="CG61" s="189">
        <f>CE61</f>
        <v>3</v>
      </c>
      <c r="CH61" s="190"/>
      <c r="CI61" s="32"/>
      <c r="CJ61" s="32"/>
      <c r="CK61" s="188">
        <v>1.5</v>
      </c>
      <c r="CL61" s="189"/>
      <c r="CM61" s="189"/>
      <c r="CN61" s="190"/>
      <c r="CO61" s="32"/>
      <c r="CP61" s="32"/>
      <c r="CQ61" s="188">
        <v>2</v>
      </c>
      <c r="CR61" s="189"/>
      <c r="CS61" s="189"/>
      <c r="CT61" s="190"/>
      <c r="CU61" s="32"/>
      <c r="CV61" s="32"/>
      <c r="CW61" s="188">
        <v>2</v>
      </c>
      <c r="CX61" s="189"/>
      <c r="CY61" s="189"/>
      <c r="CZ61" s="190"/>
      <c r="DA61" s="32"/>
      <c r="DB61" s="32"/>
      <c r="DC61" s="188">
        <v>2</v>
      </c>
      <c r="DD61" s="189"/>
      <c r="DE61" s="189"/>
      <c r="DF61" s="190"/>
      <c r="DG61" s="32"/>
      <c r="DH61" s="32"/>
      <c r="DI61" s="188">
        <v>2</v>
      </c>
      <c r="DJ61" s="189"/>
      <c r="DK61" s="189"/>
      <c r="DL61" s="190"/>
      <c r="DM61" s="32"/>
      <c r="DN61" s="32"/>
      <c r="DO61" s="188">
        <v>2.2999999999999998</v>
      </c>
      <c r="DP61" s="189"/>
      <c r="DQ61" s="189"/>
      <c r="DR61" s="190"/>
      <c r="DS61" s="32"/>
      <c r="DT61" s="32"/>
      <c r="DU61" s="188">
        <v>2.2999999999999998</v>
      </c>
      <c r="DV61" s="189"/>
      <c r="DW61" s="189"/>
      <c r="DX61" s="190"/>
      <c r="DY61" s="32"/>
      <c r="DZ61" s="32"/>
      <c r="EA61" s="188">
        <v>2</v>
      </c>
      <c r="EB61" s="189"/>
      <c r="EC61" s="189"/>
      <c r="ED61" s="190"/>
      <c r="EE61" s="32"/>
      <c r="EF61" s="32"/>
      <c r="EG61" s="188">
        <v>2</v>
      </c>
      <c r="EH61" s="189"/>
      <c r="EI61" s="189"/>
      <c r="EJ61" s="190"/>
      <c r="EK61" s="32"/>
      <c r="EL61" s="32"/>
      <c r="EM61" s="188">
        <v>2</v>
      </c>
      <c r="EN61" s="189"/>
      <c r="EO61" s="189"/>
      <c r="EP61" s="190"/>
      <c r="EQ61" s="32"/>
      <c r="ER61" s="32"/>
      <c r="ES61" s="188">
        <v>2</v>
      </c>
      <c r="ET61" s="189"/>
      <c r="EU61" s="189"/>
      <c r="EV61" s="190"/>
      <c r="EW61" s="32"/>
      <c r="EX61" s="32"/>
      <c r="EY61" s="188">
        <v>2</v>
      </c>
      <c r="EZ61" s="189"/>
      <c r="FA61" s="189"/>
      <c r="FB61" s="190"/>
      <c r="FC61" s="32"/>
      <c r="FD61" s="32"/>
      <c r="FE61" s="188">
        <v>1.67</v>
      </c>
      <c r="FF61" s="189"/>
      <c r="FG61" s="189"/>
      <c r="FH61" s="190"/>
      <c r="FI61" s="32"/>
      <c r="FJ61" s="32"/>
      <c r="FK61" s="188">
        <v>1.2</v>
      </c>
      <c r="FL61" s="189"/>
      <c r="FM61" s="189"/>
      <c r="FN61" s="190"/>
      <c r="FO61" s="32"/>
      <c r="FP61" s="32"/>
      <c r="FQ61" s="188">
        <v>2.33</v>
      </c>
      <c r="FR61" s="189"/>
      <c r="FS61" s="189"/>
      <c r="FT61" s="190"/>
      <c r="FU61" s="32"/>
      <c r="FV61" s="32"/>
      <c r="FW61" s="188">
        <v>2.33</v>
      </c>
      <c r="FX61" s="189"/>
      <c r="FY61" s="189"/>
      <c r="FZ61" s="190"/>
      <c r="GA61" s="32"/>
      <c r="GB61" s="32"/>
      <c r="GC61" s="188">
        <v>1</v>
      </c>
      <c r="GD61" s="189"/>
      <c r="GE61" s="189"/>
      <c r="GF61" s="190"/>
      <c r="GG61" s="32"/>
      <c r="GH61" s="32"/>
      <c r="GI61" s="188">
        <v>2</v>
      </c>
      <c r="GJ61" s="189"/>
      <c r="GK61" s="189"/>
      <c r="GL61" s="190"/>
      <c r="GM61" s="32"/>
      <c r="GN61" s="32"/>
      <c r="GO61" s="188">
        <v>2</v>
      </c>
      <c r="GP61" s="189"/>
      <c r="GQ61" s="189"/>
      <c r="GR61" s="190"/>
      <c r="GS61" s="32"/>
      <c r="GT61" s="32"/>
      <c r="GU61" s="188"/>
      <c r="GV61" s="189"/>
      <c r="GW61" s="189"/>
      <c r="GX61" s="190"/>
      <c r="GY61" s="32"/>
      <c r="GZ61" s="32"/>
      <c r="HA61" s="188">
        <v>2</v>
      </c>
      <c r="HB61" s="189"/>
      <c r="HC61" s="189"/>
      <c r="HD61" s="190"/>
      <c r="HE61" s="32"/>
      <c r="HF61" s="32"/>
      <c r="HG61" s="188">
        <v>2</v>
      </c>
      <c r="HH61" s="189"/>
      <c r="HI61" s="189"/>
      <c r="HJ61" s="190"/>
      <c r="HK61" s="32"/>
      <c r="HL61" s="32"/>
      <c r="HM61" s="188">
        <v>2.5</v>
      </c>
      <c r="HN61" s="189"/>
      <c r="HO61" s="189"/>
      <c r="HP61" s="190"/>
      <c r="HQ61" s="32"/>
      <c r="HR61" s="32"/>
      <c r="HS61" s="188">
        <v>3</v>
      </c>
      <c r="HT61" s="189"/>
      <c r="HU61" s="189"/>
      <c r="HV61" s="190"/>
      <c r="HW61" s="32"/>
      <c r="HX61" s="32"/>
      <c r="HY61" s="188">
        <v>1</v>
      </c>
      <c r="HZ61" s="189"/>
      <c r="IA61" s="189"/>
      <c r="IB61" s="190"/>
      <c r="IC61" s="32"/>
      <c r="ID61" s="32"/>
      <c r="IE61" s="188">
        <v>1</v>
      </c>
      <c r="IF61" s="189"/>
      <c r="IG61" s="189"/>
      <c r="IH61" s="190"/>
      <c r="II61" s="32"/>
      <c r="IJ61" s="32"/>
      <c r="IK61" s="188">
        <v>1</v>
      </c>
      <c r="IL61" s="189"/>
      <c r="IM61" s="189"/>
      <c r="IN61" s="190"/>
      <c r="IO61" s="32"/>
      <c r="IP61" s="32"/>
      <c r="IQ61" s="188">
        <v>2</v>
      </c>
      <c r="IR61" s="189"/>
      <c r="IS61" s="189"/>
      <c r="IT61" s="190"/>
      <c r="IU61" s="32"/>
      <c r="IV61" s="32"/>
      <c r="IW61" s="188">
        <v>1</v>
      </c>
      <c r="IX61" s="189"/>
      <c r="IY61" s="189"/>
      <c r="IZ61" s="190"/>
      <c r="JA61" s="32"/>
      <c r="JB61" s="32"/>
      <c r="JC61" s="188">
        <v>2</v>
      </c>
      <c r="JD61" s="189"/>
      <c r="JE61" s="189"/>
      <c r="JF61" s="190"/>
      <c r="JG61" s="32"/>
      <c r="JH61" s="32"/>
      <c r="JI61" s="188">
        <v>2</v>
      </c>
      <c r="JJ61" s="189"/>
      <c r="JK61" s="189"/>
      <c r="JL61" s="190"/>
      <c r="JM61" s="32"/>
      <c r="JN61" s="32"/>
      <c r="JO61" s="188">
        <v>0.67</v>
      </c>
      <c r="JP61" s="189"/>
      <c r="JQ61" s="189"/>
      <c r="JR61" s="190"/>
      <c r="JS61" s="32"/>
      <c r="JT61" s="32"/>
      <c r="JU61" s="188">
        <v>2</v>
      </c>
      <c r="JV61" s="189"/>
      <c r="JW61" s="189"/>
      <c r="JX61" s="190"/>
      <c r="JY61" s="32"/>
      <c r="JZ61" s="32"/>
      <c r="KA61" s="188">
        <v>2</v>
      </c>
      <c r="KB61" s="189"/>
      <c r="KC61" s="189"/>
      <c r="KD61" s="190"/>
      <c r="KE61" s="32"/>
      <c r="KF61" s="32"/>
      <c r="KG61" s="188">
        <v>1</v>
      </c>
      <c r="KH61" s="189"/>
      <c r="KI61" s="189"/>
      <c r="KJ61" s="190"/>
      <c r="KK61" s="32"/>
      <c r="KL61" s="32"/>
      <c r="KM61" s="188"/>
      <c r="KN61" s="189"/>
      <c r="KO61" s="189"/>
      <c r="KP61" s="190"/>
      <c r="KQ61" s="32"/>
      <c r="KR61" s="32"/>
      <c r="KS61" s="188"/>
      <c r="KT61" s="189"/>
      <c r="KU61" s="189"/>
      <c r="KV61" s="190"/>
      <c r="KW61" s="32"/>
      <c r="KX61" s="32"/>
      <c r="KY61" s="188">
        <v>2.5</v>
      </c>
      <c r="KZ61" s="189">
        <f>KY61</f>
        <v>2.5</v>
      </c>
      <c r="LA61" s="189"/>
      <c r="LB61" s="190"/>
      <c r="LC61" s="32"/>
      <c r="LD61" s="32"/>
      <c r="LE61" s="188">
        <v>1.5</v>
      </c>
      <c r="LF61" s="189"/>
      <c r="LG61" s="189"/>
      <c r="LH61" s="190"/>
      <c r="LI61" s="32"/>
      <c r="LJ61" s="32"/>
      <c r="LK61" s="188"/>
      <c r="LL61" s="189"/>
      <c r="LM61" s="189"/>
      <c r="LN61" s="190"/>
      <c r="LO61" s="32"/>
      <c r="LP61" s="32"/>
      <c r="LQ61" s="188">
        <v>2</v>
      </c>
      <c r="LR61" s="189"/>
      <c r="LS61" s="189"/>
      <c r="LT61" s="190"/>
      <c r="LU61" s="32"/>
      <c r="LV61" s="32"/>
      <c r="LW61" s="188">
        <v>2</v>
      </c>
      <c r="LX61" s="189"/>
      <c r="LY61" s="189"/>
      <c r="LZ61" s="190"/>
      <c r="MA61" s="32"/>
      <c r="MB61" s="32"/>
      <c r="MC61" s="188">
        <v>1.5</v>
      </c>
      <c r="MD61" s="189"/>
      <c r="ME61" s="189"/>
      <c r="MF61" s="190"/>
      <c r="MG61" s="32"/>
      <c r="MH61" s="32"/>
      <c r="MI61" s="188"/>
      <c r="MJ61" s="189"/>
      <c r="MK61" s="189"/>
      <c r="ML61" s="190"/>
      <c r="MM61" s="32"/>
      <c r="MN61" s="32"/>
      <c r="MO61" s="188">
        <v>2</v>
      </c>
      <c r="MP61" s="189"/>
      <c r="MQ61" s="189"/>
      <c r="MR61" s="190"/>
      <c r="MS61" s="32"/>
      <c r="MT61" s="32"/>
      <c r="MU61" s="188">
        <v>2</v>
      </c>
      <c r="MV61" s="189">
        <v>2</v>
      </c>
      <c r="MW61" s="189"/>
      <c r="MX61" s="190"/>
      <c r="MY61" s="32"/>
      <c r="MZ61" s="32"/>
      <c r="NA61" s="188"/>
      <c r="NB61" s="189"/>
      <c r="NC61" s="189"/>
      <c r="ND61" s="190"/>
      <c r="NE61" s="32"/>
      <c r="NF61" s="32"/>
      <c r="NG61" s="188"/>
      <c r="NH61" s="189"/>
      <c r="NI61" s="189"/>
      <c r="NJ61" s="190"/>
    </row>
    <row r="62" spans="1:374" s="33" customFormat="1" x14ac:dyDescent="0.45">
      <c r="A62" s="274"/>
      <c r="B62" s="33" t="s">
        <v>433</v>
      </c>
      <c r="C62" s="35"/>
      <c r="D62" s="35" t="s">
        <v>5</v>
      </c>
      <c r="E62" s="35" t="str">
        <f>E1</f>
        <v>MG</v>
      </c>
      <c r="F62" s="35" t="s">
        <v>178</v>
      </c>
      <c r="G62" s="35" t="s">
        <v>5</v>
      </c>
      <c r="H62" s="34"/>
      <c r="I62" s="35"/>
      <c r="J62" s="35"/>
      <c r="K62" s="35" t="str">
        <f>K1</f>
        <v>RL</v>
      </c>
      <c r="L62" s="35" t="s">
        <v>5</v>
      </c>
      <c r="M62" s="35" t="s">
        <v>5</v>
      </c>
      <c r="N62" s="34" t="s">
        <v>5</v>
      </c>
      <c r="O62" s="35"/>
      <c r="P62" s="35"/>
      <c r="Q62" s="35" t="str">
        <f>Q1</f>
        <v>RL</v>
      </c>
      <c r="R62" s="35" t="s">
        <v>5</v>
      </c>
      <c r="S62" s="35" t="s">
        <v>5</v>
      </c>
      <c r="T62" s="34" t="s">
        <v>5</v>
      </c>
      <c r="U62" s="35" t="s">
        <v>5</v>
      </c>
      <c r="V62" s="35" t="s">
        <v>5</v>
      </c>
      <c r="W62" s="35" t="str">
        <f>W1</f>
        <v>RL</v>
      </c>
      <c r="X62" s="35" t="s">
        <v>5</v>
      </c>
      <c r="Y62" s="35"/>
      <c r="Z62" s="34"/>
      <c r="AA62" s="35" t="s">
        <v>5</v>
      </c>
      <c r="AB62" s="35"/>
      <c r="AC62" s="35" t="str">
        <f>AC1</f>
        <v>MG</v>
      </c>
      <c r="AD62" s="35" t="s">
        <v>5</v>
      </c>
      <c r="AE62" s="35" t="s">
        <v>5</v>
      </c>
      <c r="AF62" s="34"/>
      <c r="AG62" s="35" t="s">
        <v>5</v>
      </c>
      <c r="AH62" s="35"/>
      <c r="AI62" s="35" t="str">
        <f>AI1</f>
        <v>MG</v>
      </c>
      <c r="AJ62" s="35" t="s">
        <v>5</v>
      </c>
      <c r="AK62" s="35" t="s">
        <v>5</v>
      </c>
      <c r="AL62" s="34"/>
      <c r="AM62" s="35" t="s">
        <v>5</v>
      </c>
      <c r="AN62" s="35"/>
      <c r="AO62" s="35" t="str">
        <f>AO1</f>
        <v>MG</v>
      </c>
      <c r="AP62" s="35" t="s">
        <v>5</v>
      </c>
      <c r="AQ62" s="35" t="s">
        <v>5</v>
      </c>
      <c r="AR62" s="34"/>
      <c r="AS62" s="35"/>
      <c r="AT62" s="35"/>
      <c r="AU62" s="35" t="str">
        <f>AU1</f>
        <v>SG</v>
      </c>
      <c r="AV62" s="35" t="s">
        <v>179</v>
      </c>
      <c r="AW62" s="35"/>
      <c r="AX62" s="34"/>
      <c r="AY62" s="35"/>
      <c r="AZ62" s="35"/>
      <c r="BA62" s="35" t="str">
        <f>BA1</f>
        <v>SG</v>
      </c>
      <c r="BB62" s="35" t="s">
        <v>179</v>
      </c>
      <c r="BC62" s="35"/>
      <c r="BD62" s="34"/>
      <c r="BE62" s="35" t="s">
        <v>5</v>
      </c>
      <c r="BF62" s="35"/>
      <c r="BG62" s="35" t="str">
        <f>BG1</f>
        <v>SR</v>
      </c>
      <c r="BH62" s="35" t="s">
        <v>5</v>
      </c>
      <c r="BI62" s="35"/>
      <c r="BJ62" s="34"/>
      <c r="BK62" s="35"/>
      <c r="BL62" s="35"/>
      <c r="BM62" s="35" t="str">
        <f>BM1</f>
        <v>SR</v>
      </c>
      <c r="BN62" s="35" t="s">
        <v>24</v>
      </c>
      <c r="BO62" s="35"/>
      <c r="BP62" s="34"/>
      <c r="BQ62" s="35"/>
      <c r="BR62" s="35"/>
      <c r="BS62" s="35" t="str">
        <f>BS1</f>
        <v>SR</v>
      </c>
      <c r="BT62" s="35"/>
      <c r="BU62" s="35"/>
      <c r="BV62" s="34"/>
      <c r="BW62" s="35" t="s">
        <v>434</v>
      </c>
      <c r="BX62" s="35" t="s">
        <v>434</v>
      </c>
      <c r="BY62" s="35" t="str">
        <f>BY1</f>
        <v>SG</v>
      </c>
      <c r="BZ62" s="35" t="s">
        <v>434</v>
      </c>
      <c r="CA62" s="35"/>
      <c r="CB62" s="34"/>
      <c r="CC62" s="35"/>
      <c r="CD62" s="35"/>
      <c r="CE62" s="35" t="str">
        <f>CE1</f>
        <v>MG</v>
      </c>
      <c r="CF62" s="35" t="s">
        <v>434</v>
      </c>
      <c r="CG62" s="35" t="s">
        <v>434</v>
      </c>
      <c r="CH62" s="34"/>
      <c r="CI62" s="35"/>
      <c r="CJ62" s="35"/>
      <c r="CK62" s="35" t="str">
        <f>CK1</f>
        <v>SG</v>
      </c>
      <c r="CL62" s="35" t="s">
        <v>434</v>
      </c>
      <c r="CM62" s="35" t="s">
        <v>434</v>
      </c>
      <c r="CN62" s="34"/>
      <c r="CO62" s="35"/>
      <c r="CP62" s="35"/>
      <c r="CQ62" s="35" t="str">
        <f>CQ1</f>
        <v>SG</v>
      </c>
      <c r="CR62" s="35"/>
      <c r="CS62" s="35"/>
      <c r="CT62" s="34"/>
      <c r="CU62" s="35"/>
      <c r="CV62" s="35"/>
      <c r="CW62" s="35" t="str">
        <f>CW1</f>
        <v>SG</v>
      </c>
      <c r="CX62" s="35"/>
      <c r="CY62" s="35"/>
      <c r="CZ62" s="34"/>
      <c r="DA62" s="35" t="s">
        <v>434</v>
      </c>
      <c r="DB62" s="35"/>
      <c r="DC62" s="35" t="str">
        <f>DC1</f>
        <v>SR</v>
      </c>
      <c r="DD62" s="35" t="s">
        <v>434</v>
      </c>
      <c r="DE62" s="35"/>
      <c r="DF62" s="34"/>
      <c r="DG62" s="35" t="s">
        <v>434</v>
      </c>
      <c r="DH62" s="35"/>
      <c r="DI62" s="35" t="str">
        <f>DI1</f>
        <v>SR</v>
      </c>
      <c r="DJ62" s="35" t="s">
        <v>434</v>
      </c>
      <c r="DK62" s="35"/>
      <c r="DL62" s="34"/>
      <c r="DM62" s="35" t="s">
        <v>434</v>
      </c>
      <c r="DN62" s="35"/>
      <c r="DO62" s="35" t="str">
        <f>DO1</f>
        <v>AR</v>
      </c>
      <c r="DP62" s="35"/>
      <c r="DQ62" s="35"/>
      <c r="DR62" s="34"/>
      <c r="DS62" s="35"/>
      <c r="DT62" s="35"/>
      <c r="DU62" s="35" t="str">
        <f>DU1</f>
        <v>MG</v>
      </c>
      <c r="DV62" s="35" t="s">
        <v>5</v>
      </c>
      <c r="DW62" s="35"/>
      <c r="DX62" s="34"/>
      <c r="DY62" s="35"/>
      <c r="DZ62" s="35"/>
      <c r="EA62" s="35" t="str">
        <f>EA1</f>
        <v>RL</v>
      </c>
      <c r="EB62" s="35" t="s">
        <v>5</v>
      </c>
      <c r="EC62" s="35"/>
      <c r="ED62" s="34"/>
      <c r="EE62" s="35"/>
      <c r="EF62" s="35"/>
      <c r="EG62" s="35" t="str">
        <f>EG1</f>
        <v>RL</v>
      </c>
      <c r="EH62" s="35" t="s">
        <v>5</v>
      </c>
      <c r="EI62" s="35"/>
      <c r="EJ62" s="34"/>
      <c r="EK62" s="35"/>
      <c r="EL62" s="35"/>
      <c r="EM62" s="35" t="str">
        <f>EM1</f>
        <v>SR</v>
      </c>
      <c r="EN62" s="35"/>
      <c r="EO62" s="35"/>
      <c r="EP62" s="34"/>
      <c r="EQ62" s="35" t="s">
        <v>5</v>
      </c>
      <c r="ER62" s="35"/>
      <c r="ES62" s="35" t="str">
        <f>ES1</f>
        <v>SG</v>
      </c>
      <c r="ET62" s="35"/>
      <c r="EU62" s="35"/>
      <c r="EV62" s="34"/>
      <c r="EW62" s="35" t="s">
        <v>5</v>
      </c>
      <c r="EX62" s="35"/>
      <c r="EY62" s="35" t="str">
        <f>EY1</f>
        <v>SG</v>
      </c>
      <c r="EZ62" s="35"/>
      <c r="FA62" s="35"/>
      <c r="FB62" s="34"/>
      <c r="FC62" s="35"/>
      <c r="FD62" s="35"/>
      <c r="FE62" s="35" t="str">
        <f>FE1</f>
        <v>AR</v>
      </c>
      <c r="FF62" s="35" t="s">
        <v>5</v>
      </c>
      <c r="FG62" s="35"/>
      <c r="FH62" s="34"/>
      <c r="FI62" s="35" t="s">
        <v>5</v>
      </c>
      <c r="FJ62" s="35" t="s">
        <v>5</v>
      </c>
      <c r="FK62" s="35" t="str">
        <f>FK1</f>
        <v>AR</v>
      </c>
      <c r="FL62" s="35" t="s">
        <v>5</v>
      </c>
      <c r="FM62" s="35" t="s">
        <v>5</v>
      </c>
      <c r="FN62" s="34"/>
      <c r="FO62" s="35"/>
      <c r="FP62" s="35" t="s">
        <v>435</v>
      </c>
      <c r="FQ62" s="35" t="str">
        <f>FQ1</f>
        <v>RL</v>
      </c>
      <c r="FR62" s="35" t="s">
        <v>5</v>
      </c>
      <c r="FS62" s="35" t="s">
        <v>435</v>
      </c>
      <c r="FT62" s="34" t="s">
        <v>434</v>
      </c>
      <c r="FU62" s="35"/>
      <c r="FV62" s="35" t="s">
        <v>435</v>
      </c>
      <c r="FW62" s="35" t="str">
        <f>FW1</f>
        <v>RL</v>
      </c>
      <c r="FX62" s="35" t="s">
        <v>5</v>
      </c>
      <c r="FY62" s="35" t="s">
        <v>435</v>
      </c>
      <c r="FZ62" s="34" t="s">
        <v>434</v>
      </c>
      <c r="GA62" s="35" t="s">
        <v>5</v>
      </c>
      <c r="GB62" s="35"/>
      <c r="GC62" s="35" t="str">
        <f>GC1</f>
        <v>AR</v>
      </c>
      <c r="GD62" s="35" t="s">
        <v>5</v>
      </c>
      <c r="GE62" s="35"/>
      <c r="GF62" s="34"/>
      <c r="GG62" s="35" t="s">
        <v>5</v>
      </c>
      <c r="GH62" s="35"/>
      <c r="GI62" s="35" t="str">
        <f>GI1</f>
        <v>RL</v>
      </c>
      <c r="GJ62" s="35" t="s">
        <v>5</v>
      </c>
      <c r="GK62" s="35"/>
      <c r="GL62" s="34"/>
      <c r="GM62" s="35" t="s">
        <v>5</v>
      </c>
      <c r="GN62" s="35"/>
      <c r="GO62" s="35" t="str">
        <f>GO1</f>
        <v>RL</v>
      </c>
      <c r="GP62" s="35" t="s">
        <v>5</v>
      </c>
      <c r="GQ62" s="35"/>
      <c r="GR62" s="34"/>
      <c r="GS62" s="35"/>
      <c r="GT62" s="35"/>
      <c r="GU62" s="35" t="str">
        <f>GU1</f>
        <v>AR</v>
      </c>
      <c r="GV62" s="35"/>
      <c r="GW62" s="35"/>
      <c r="GX62" s="34" t="s">
        <v>176</v>
      </c>
      <c r="GY62" s="35"/>
      <c r="GZ62" s="35"/>
      <c r="HA62" s="35" t="str">
        <f>HA1</f>
        <v>SR</v>
      </c>
      <c r="HB62" s="35" t="s">
        <v>176</v>
      </c>
      <c r="HC62" s="35"/>
      <c r="HD62" s="34"/>
      <c r="HE62" s="35"/>
      <c r="HF62" s="35"/>
      <c r="HG62" s="35" t="str">
        <f>HG1</f>
        <v>SR</v>
      </c>
      <c r="HH62" s="35" t="s">
        <v>5</v>
      </c>
      <c r="HI62" s="35"/>
      <c r="HJ62" s="34"/>
      <c r="HK62" s="35"/>
      <c r="HL62" s="35"/>
      <c r="HM62" s="35" t="str">
        <f>HM1</f>
        <v>MG</v>
      </c>
      <c r="HN62" s="35" t="s">
        <v>5</v>
      </c>
      <c r="HO62" s="35"/>
      <c r="HP62" s="34"/>
      <c r="HQ62" s="35"/>
      <c r="HR62" s="35"/>
      <c r="HS62" s="35" t="str">
        <f>HS1</f>
        <v>MG</v>
      </c>
      <c r="HT62" s="35" t="s">
        <v>5</v>
      </c>
      <c r="HU62" s="35" t="s">
        <v>5</v>
      </c>
      <c r="HV62" s="34"/>
      <c r="HW62" s="35" t="s">
        <v>5</v>
      </c>
      <c r="HX62" s="35" t="s">
        <v>5</v>
      </c>
      <c r="HY62" s="35" t="str">
        <f>HY1</f>
        <v>AR</v>
      </c>
      <c r="HZ62" s="35" t="s">
        <v>5</v>
      </c>
      <c r="IA62" s="35"/>
      <c r="IB62" s="34"/>
      <c r="IC62" s="35"/>
      <c r="ID62" s="35"/>
      <c r="IE62" s="35" t="str">
        <f>IE1</f>
        <v>AR</v>
      </c>
      <c r="IF62" s="35" t="s">
        <v>5</v>
      </c>
      <c r="IG62" s="35"/>
      <c r="IH62" s="34"/>
      <c r="II62" s="35" t="s">
        <v>5</v>
      </c>
      <c r="IJ62" s="35"/>
      <c r="IK62" s="35" t="str">
        <f>IK1</f>
        <v>SMG</v>
      </c>
      <c r="IL62" s="35"/>
      <c r="IM62" s="35"/>
      <c r="IN62" s="34"/>
      <c r="IO62" s="35"/>
      <c r="IP62" s="35"/>
      <c r="IQ62" s="35" t="str">
        <f>IQ1</f>
        <v>AR</v>
      </c>
      <c r="IR62" s="35"/>
      <c r="IS62" s="35"/>
      <c r="IT62" s="34"/>
      <c r="IU62" s="35" t="s">
        <v>5</v>
      </c>
      <c r="IV62" s="35"/>
      <c r="IW62" s="35" t="str">
        <f>IW1</f>
        <v>AR</v>
      </c>
      <c r="IX62" s="35"/>
      <c r="IY62" s="35"/>
      <c r="IZ62" s="34"/>
      <c r="JA62" s="35"/>
      <c r="JB62" s="35"/>
      <c r="JC62" s="35" t="str">
        <f>JC1</f>
        <v>SR</v>
      </c>
      <c r="JD62" s="35" t="s">
        <v>5</v>
      </c>
      <c r="JE62" s="35"/>
      <c r="JF62" s="34"/>
      <c r="JG62" s="35"/>
      <c r="JH62" s="35"/>
      <c r="JI62" s="35" t="str">
        <f>JI1</f>
        <v>SR</v>
      </c>
      <c r="JJ62" s="35" t="s">
        <v>5</v>
      </c>
      <c r="JK62" s="35"/>
      <c r="JL62" s="34"/>
      <c r="JM62" s="35" t="s">
        <v>5</v>
      </c>
      <c r="JN62" s="35"/>
      <c r="JO62" s="35" t="str">
        <f>JO1</f>
        <v>SG</v>
      </c>
      <c r="JP62" s="35" t="s">
        <v>5</v>
      </c>
      <c r="JQ62" s="35" t="s">
        <v>5</v>
      </c>
      <c r="JR62" s="34"/>
      <c r="JS62" s="35"/>
      <c r="JT62" s="35"/>
      <c r="JU62" s="35" t="str">
        <f>JU1</f>
        <v>RL</v>
      </c>
      <c r="JV62" s="35" t="s">
        <v>174</v>
      </c>
      <c r="JW62" s="35" t="s">
        <v>5</v>
      </c>
      <c r="JX62" s="34"/>
      <c r="JY62" s="35"/>
      <c r="JZ62" s="35"/>
      <c r="KA62" s="35" t="str">
        <f>KA1</f>
        <v>RL</v>
      </c>
      <c r="KB62" s="35" t="s">
        <v>174</v>
      </c>
      <c r="KC62" s="35" t="s">
        <v>5</v>
      </c>
      <c r="KD62" s="34"/>
      <c r="KE62" s="35"/>
      <c r="KF62" s="35"/>
      <c r="KG62" s="35" t="str">
        <f>KG1</f>
        <v>AR</v>
      </c>
      <c r="KH62" s="35" t="s">
        <v>5</v>
      </c>
      <c r="KI62" s="35"/>
      <c r="KJ62" s="34"/>
      <c r="KK62" s="35" t="s">
        <v>5</v>
      </c>
      <c r="KL62" s="35" t="s">
        <v>5</v>
      </c>
      <c r="KM62" s="35" t="str">
        <f>KM1</f>
        <v>MG</v>
      </c>
      <c r="KN62" s="35"/>
      <c r="KO62" s="35"/>
      <c r="KP62" s="34"/>
      <c r="KQ62" s="35"/>
      <c r="KR62" s="35"/>
      <c r="KS62" s="35" t="s">
        <v>90</v>
      </c>
      <c r="KT62" s="35" t="s">
        <v>5</v>
      </c>
      <c r="KU62" s="35"/>
      <c r="KV62" s="34"/>
      <c r="KW62" s="35"/>
      <c r="KX62" s="35"/>
      <c r="KY62" s="35" t="str">
        <f>KY1</f>
        <v>MG</v>
      </c>
      <c r="KZ62" s="35" t="s">
        <v>178</v>
      </c>
      <c r="LA62" s="35" t="s">
        <v>5</v>
      </c>
      <c r="LB62" s="34"/>
      <c r="LC62" s="35" t="s">
        <v>434</v>
      </c>
      <c r="LD62" s="35" t="s">
        <v>434</v>
      </c>
      <c r="LE62" s="35" t="str">
        <f>LE1</f>
        <v>SMG</v>
      </c>
      <c r="LF62" s="35" t="s">
        <v>174</v>
      </c>
      <c r="LG62" s="35" t="s">
        <v>5</v>
      </c>
      <c r="LH62" s="34" t="s">
        <v>5</v>
      </c>
      <c r="LI62" s="35" t="s">
        <v>434</v>
      </c>
      <c r="LJ62" s="35" t="s">
        <v>434</v>
      </c>
      <c r="LK62" s="35" t="str">
        <f>LK1</f>
        <v>MG</v>
      </c>
      <c r="LL62" s="35"/>
      <c r="LM62" s="35"/>
      <c r="LN62" s="34"/>
      <c r="LO62" s="35"/>
      <c r="LP62" s="35"/>
      <c r="LQ62" s="35" t="str">
        <f>LQ1</f>
        <v>SR</v>
      </c>
      <c r="LR62" s="35" t="s">
        <v>5</v>
      </c>
      <c r="LS62" s="35"/>
      <c r="LT62" s="34"/>
      <c r="LU62" s="35"/>
      <c r="LV62" s="35"/>
      <c r="LW62" s="35" t="str">
        <f>LW1</f>
        <v>RL</v>
      </c>
      <c r="LX62" s="35" t="s">
        <v>5</v>
      </c>
      <c r="LY62" s="35" t="s">
        <v>5</v>
      </c>
      <c r="LZ62" s="34"/>
      <c r="MA62" s="35"/>
      <c r="MB62" s="35"/>
      <c r="MC62" s="35" t="str">
        <f>MC1</f>
        <v>SG</v>
      </c>
      <c r="MD62" s="35" t="s">
        <v>5</v>
      </c>
      <c r="ME62" s="35"/>
      <c r="MF62" s="34"/>
      <c r="MG62" s="35"/>
      <c r="MH62" s="35"/>
      <c r="MI62" s="35" t="str">
        <f>MI1</f>
        <v>AR</v>
      </c>
      <c r="MJ62" s="35"/>
      <c r="MK62" s="35"/>
      <c r="ML62" s="34"/>
      <c r="MM62" s="35" t="s">
        <v>5</v>
      </c>
      <c r="MN62" s="35"/>
      <c r="MO62" s="35" t="str">
        <f>MO1</f>
        <v>RL</v>
      </c>
      <c r="MP62" s="35" t="s">
        <v>5</v>
      </c>
      <c r="MQ62" s="35"/>
      <c r="MR62" s="34"/>
      <c r="MS62" s="35"/>
      <c r="MT62" s="35"/>
      <c r="MU62" s="35" t="str">
        <f>MU1</f>
        <v>SR</v>
      </c>
      <c r="MV62" s="35" t="s">
        <v>330</v>
      </c>
      <c r="MW62" s="35" t="s">
        <v>5</v>
      </c>
      <c r="MX62" s="34" t="s">
        <v>5</v>
      </c>
      <c r="MY62" s="35"/>
      <c r="MZ62" s="35"/>
      <c r="NA62" s="35" t="str">
        <f>NA1</f>
        <v>RL</v>
      </c>
      <c r="NB62" s="35"/>
      <c r="NC62" s="35"/>
      <c r="ND62" s="34"/>
      <c r="NE62" s="35"/>
      <c r="NF62" s="35"/>
      <c r="NG62" s="35">
        <f>NG1</f>
        <v>0</v>
      </c>
      <c r="NH62" s="35"/>
      <c r="NI62" s="35"/>
      <c r="NJ62" s="34"/>
    </row>
    <row r="63" spans="1:374" s="33" customFormat="1" x14ac:dyDescent="0.45">
      <c r="A63" s="274"/>
      <c r="B63" s="33" t="s">
        <v>436</v>
      </c>
      <c r="C63" s="35"/>
      <c r="D63" s="35"/>
      <c r="E63" s="35" t="str">
        <f>IF(OR(E$1="RL",E$1="SR"),"차지","")</f>
        <v/>
      </c>
      <c r="F63" s="35" t="s">
        <v>264</v>
      </c>
      <c r="G63" s="35" t="s">
        <v>263</v>
      </c>
      <c r="H63" s="34"/>
      <c r="I63" s="35"/>
      <c r="J63" s="35"/>
      <c r="K63" s="35" t="str">
        <f>IF(OR(K$1="RL",K$1="SR"),"차지","")</f>
        <v>차지</v>
      </c>
      <c r="L63" s="35"/>
      <c r="M63" s="35" t="s">
        <v>158</v>
      </c>
      <c r="N63" s="34" t="s">
        <v>158</v>
      </c>
      <c r="O63" s="35"/>
      <c r="P63" s="35"/>
      <c r="Q63" s="35" t="str">
        <f>IF(OR(Q$1="RL",Q$1="SR"),"차지","")</f>
        <v>차지</v>
      </c>
      <c r="R63" s="35"/>
      <c r="S63" s="35" t="s">
        <v>158</v>
      </c>
      <c r="T63" s="34" t="s">
        <v>158</v>
      </c>
      <c r="U63" s="35"/>
      <c r="V63" s="35"/>
      <c r="W63" s="35" t="str">
        <f>IF(OR(W$1="RL",W$1="SR"),"차지","")</f>
        <v>차지</v>
      </c>
      <c r="X63" s="35"/>
      <c r="Y63" s="35"/>
      <c r="Z63" s="34"/>
      <c r="AA63" s="35" t="s">
        <v>262</v>
      </c>
      <c r="AB63" s="35"/>
      <c r="AC63" s="35" t="str">
        <f>IF(OR(AC$1="RL",AC$1="SR"),"차지","")</f>
        <v/>
      </c>
      <c r="AD63" s="35" t="s">
        <v>262</v>
      </c>
      <c r="AE63" s="35" t="s">
        <v>262</v>
      </c>
      <c r="AF63" s="34"/>
      <c r="AG63" s="35" t="s">
        <v>262</v>
      </c>
      <c r="AH63" s="35"/>
      <c r="AI63" s="35" t="str">
        <f>IF(OR(AI$1="RL",AI$1="SR"),"차지","")</f>
        <v/>
      </c>
      <c r="AJ63" s="35" t="s">
        <v>262</v>
      </c>
      <c r="AK63" s="35" t="s">
        <v>262</v>
      </c>
      <c r="AL63" s="34"/>
      <c r="AM63" s="35" t="s">
        <v>262</v>
      </c>
      <c r="AN63" s="35"/>
      <c r="AO63" s="35" t="str">
        <f>IF(OR(AO$1="RL",AO$1="SR"),"차지","")</f>
        <v/>
      </c>
      <c r="AP63" s="35" t="s">
        <v>262</v>
      </c>
      <c r="AQ63" s="35" t="s">
        <v>262</v>
      </c>
      <c r="AR63" s="34"/>
      <c r="AS63" s="35"/>
      <c r="AT63" s="35"/>
      <c r="AU63" s="35" t="str">
        <f>IF(OR(AU$1="RL",AU$1="SR"),"차지","")</f>
        <v/>
      </c>
      <c r="AV63" s="35" t="s">
        <v>261</v>
      </c>
      <c r="AW63" s="35"/>
      <c r="AX63" s="34"/>
      <c r="AY63" s="35"/>
      <c r="AZ63" s="35"/>
      <c r="BA63" s="35" t="str">
        <f>IF(OR(BA$1="RL",BA$1="SR"),"차지","")</f>
        <v/>
      </c>
      <c r="BB63" s="35" t="s">
        <v>261</v>
      </c>
      <c r="BC63" s="35"/>
      <c r="BD63" s="34"/>
      <c r="BE63" s="35" t="s">
        <v>265</v>
      </c>
      <c r="BF63" s="35"/>
      <c r="BG63" s="35" t="str">
        <f>IF(OR(BG$1="RL",BG$1="SR"),"차지","")</f>
        <v>차지</v>
      </c>
      <c r="BH63" s="35"/>
      <c r="BI63" s="35"/>
      <c r="BJ63" s="34"/>
      <c r="BK63" s="35"/>
      <c r="BL63" s="35"/>
      <c r="BM63" s="35" t="str">
        <f>IF(OR(BM$1="RL",BM$1="SR"),"차지","")</f>
        <v>차지</v>
      </c>
      <c r="BN63" s="35" t="s">
        <v>280</v>
      </c>
      <c r="BO63" s="35"/>
      <c r="BP63" s="34"/>
      <c r="BQ63" s="35"/>
      <c r="BR63" s="35"/>
      <c r="BS63" s="35" t="str">
        <f>IF(OR(BS$1="RL",BS$1="SR"),"차지","")</f>
        <v>차지</v>
      </c>
      <c r="BT63" s="35"/>
      <c r="BU63" s="35"/>
      <c r="BV63" s="34"/>
      <c r="BW63" s="35" t="s">
        <v>437</v>
      </c>
      <c r="BX63" s="35"/>
      <c r="BY63" s="35" t="str">
        <f>IF(OR(BY$1="RL",BY$1="SR"),"차지","")</f>
        <v/>
      </c>
      <c r="BZ63" s="35"/>
      <c r="CA63" s="35"/>
      <c r="CB63" s="34"/>
      <c r="CC63" s="35"/>
      <c r="CD63" s="35"/>
      <c r="CE63" s="35" t="str">
        <f>IF(OR(CE$1="RL",CE$1="SR"),"차지","")</f>
        <v/>
      </c>
      <c r="CF63" s="35"/>
      <c r="CG63" s="35"/>
      <c r="CH63" s="34"/>
      <c r="CI63" s="35"/>
      <c r="CJ63" s="35"/>
      <c r="CK63" s="35" t="str">
        <f>IF(OR(CK$1="RL",CK$1="SR"),"차지","")</f>
        <v/>
      </c>
      <c r="CL63" s="35"/>
      <c r="CM63" s="35"/>
      <c r="CN63" s="34"/>
      <c r="CO63" s="35"/>
      <c r="CP63" s="35"/>
      <c r="CQ63" s="35" t="str">
        <f>IF(OR(CQ$1="RL",CQ$1="SR"),"차지","")</f>
        <v/>
      </c>
      <c r="CR63" s="35"/>
      <c r="CS63" s="35"/>
      <c r="CT63" s="34"/>
      <c r="CU63" s="35"/>
      <c r="CV63" s="35"/>
      <c r="CW63" s="35" t="str">
        <f>IF(OR(CW$1="RL",CW$1="SR"),"차지","")</f>
        <v/>
      </c>
      <c r="CX63" s="35"/>
      <c r="CY63" s="35"/>
      <c r="CZ63" s="34"/>
      <c r="DA63" s="35" t="s">
        <v>438</v>
      </c>
      <c r="DB63" s="35"/>
      <c r="DC63" s="35" t="str">
        <f>IF(OR(DC$1="RL",DC$1="SR"),"차지","")</f>
        <v>차지</v>
      </c>
      <c r="DD63" s="35" t="s">
        <v>438</v>
      </c>
      <c r="DE63" s="35"/>
      <c r="DF63" s="34"/>
      <c r="DG63" s="35" t="s">
        <v>438</v>
      </c>
      <c r="DH63" s="35"/>
      <c r="DI63" s="35" t="str">
        <f>IF(OR(DI$1="RL",DI$1="SR"),"차지","")</f>
        <v>차지</v>
      </c>
      <c r="DJ63" s="35" t="s">
        <v>438</v>
      </c>
      <c r="DK63" s="35"/>
      <c r="DL63" s="34"/>
      <c r="DM63" s="35" t="s">
        <v>437</v>
      </c>
      <c r="DN63" s="35"/>
      <c r="DO63" s="35" t="str">
        <f>IF(OR(DO$1="RL",DO$1="SR"),"차지","")</f>
        <v/>
      </c>
      <c r="DP63" s="35"/>
      <c r="DQ63" s="35"/>
      <c r="DR63" s="34"/>
      <c r="DS63" s="35"/>
      <c r="DT63" s="35"/>
      <c r="DU63" s="35" t="str">
        <f>IF(OR(DU$1="RL",DU$1="SR"),"차지","")</f>
        <v/>
      </c>
      <c r="DV63" s="35"/>
      <c r="DW63" s="35"/>
      <c r="DX63" s="34"/>
      <c r="DY63" s="35"/>
      <c r="DZ63" s="35"/>
      <c r="EA63" s="35" t="str">
        <f>IF(OR(EA$1="RL",EA$1="SR"),"차지","")</f>
        <v>차지</v>
      </c>
      <c r="EB63" s="35"/>
      <c r="EC63" s="35"/>
      <c r="ED63" s="34"/>
      <c r="EE63" s="35"/>
      <c r="EF63" s="35"/>
      <c r="EG63" s="35" t="str">
        <f>IF(OR(EG$1="RL",EG$1="SR"),"차지","")</f>
        <v>차지</v>
      </c>
      <c r="EH63" s="35"/>
      <c r="EI63" s="35"/>
      <c r="EJ63" s="34"/>
      <c r="EK63" s="35"/>
      <c r="EL63" s="35"/>
      <c r="EM63" s="35" t="str">
        <f>IF(OR(EM$1="RL",EM$1="SR"),"차지","")</f>
        <v>차지</v>
      </c>
      <c r="EN63" s="35"/>
      <c r="EO63" s="35"/>
      <c r="EP63" s="34"/>
      <c r="EQ63" s="35" t="s">
        <v>265</v>
      </c>
      <c r="ER63" s="35"/>
      <c r="ES63" s="35" t="str">
        <f>IF(OR(ES$1="RL",ES$1="SR"),"차지","")</f>
        <v/>
      </c>
      <c r="ET63" s="35"/>
      <c r="EU63" s="35"/>
      <c r="EV63" s="34"/>
      <c r="EW63" s="35" t="s">
        <v>265</v>
      </c>
      <c r="EX63" s="35"/>
      <c r="EY63" s="35" t="str">
        <f>IF(OR(EY$1="RL",EY$1="SR"),"차지","")</f>
        <v/>
      </c>
      <c r="EZ63" s="35"/>
      <c r="FA63" s="35"/>
      <c r="FB63" s="34"/>
      <c r="FC63" s="35"/>
      <c r="FD63" s="35"/>
      <c r="FE63" s="35" t="str">
        <f>IF(OR(FE$1="RL",FE$1="SR"),"차지","")</f>
        <v/>
      </c>
      <c r="FF63" s="35" t="s">
        <v>262</v>
      </c>
      <c r="FG63" s="35"/>
      <c r="FH63" s="34"/>
      <c r="FI63" s="35"/>
      <c r="FJ63" s="35"/>
      <c r="FK63" s="35" t="str">
        <f>IF(OR(FK$1="RL",FK$1="SR"),"차지","")</f>
        <v/>
      </c>
      <c r="FL63" s="35"/>
      <c r="FM63" s="35"/>
      <c r="FN63" s="34"/>
      <c r="FO63" s="35"/>
      <c r="FP63" s="35" t="s">
        <v>261</v>
      </c>
      <c r="FQ63" s="35" t="str">
        <f>IF(OR(FQ$1="RL",FQ$1="SR"),"차지","")</f>
        <v>차지</v>
      </c>
      <c r="FR63" s="35"/>
      <c r="FS63" s="35" t="s">
        <v>439</v>
      </c>
      <c r="FT63" s="34" t="s">
        <v>438</v>
      </c>
      <c r="FU63" s="35"/>
      <c r="FV63" s="35" t="s">
        <v>261</v>
      </c>
      <c r="FW63" s="35" t="str">
        <f>IF(OR(FW$1="RL",FW$1="SR"),"차지","")</f>
        <v>차지</v>
      </c>
      <c r="FX63" s="35"/>
      <c r="FY63" s="35" t="s">
        <v>439</v>
      </c>
      <c r="FZ63" s="34" t="s">
        <v>438</v>
      </c>
      <c r="GA63" s="35"/>
      <c r="GB63" s="35"/>
      <c r="GC63" s="35" t="str">
        <f>IF(OR(GC$1="RL",GC$1="SR"),"차지","")</f>
        <v/>
      </c>
      <c r="GD63" s="35"/>
      <c r="GE63" s="35"/>
      <c r="GF63" s="34"/>
      <c r="GG63" s="35" t="s">
        <v>265</v>
      </c>
      <c r="GH63" s="35"/>
      <c r="GI63" s="35" t="str">
        <f>IF(OR(GI$1="RL",GI$1="SR"),"차지","")</f>
        <v>차지</v>
      </c>
      <c r="GJ63" s="35" t="s">
        <v>262</v>
      </c>
      <c r="GK63" s="35"/>
      <c r="GL63" s="34"/>
      <c r="GM63" s="35" t="s">
        <v>265</v>
      </c>
      <c r="GN63" s="35"/>
      <c r="GO63" s="35" t="str">
        <f>IF(OR(GO$1="RL",GO$1="SR"),"차지","")</f>
        <v>차지</v>
      </c>
      <c r="GP63" s="35" t="s">
        <v>262</v>
      </c>
      <c r="GQ63" s="35"/>
      <c r="GR63" s="34"/>
      <c r="GS63" s="35"/>
      <c r="GT63" s="35"/>
      <c r="GU63" s="35" t="str">
        <f>IF(OR(GU$1="RL",GU$1="SR"),"차지","")</f>
        <v/>
      </c>
      <c r="GV63" s="35"/>
      <c r="GW63" s="35"/>
      <c r="GX63" s="34" t="s">
        <v>280</v>
      </c>
      <c r="GY63" s="35"/>
      <c r="GZ63" s="35"/>
      <c r="HA63" s="35" t="str">
        <f>IF(OR(HA$1="RL",HA$1="SR"),"차지","")</f>
        <v>차지</v>
      </c>
      <c r="HB63" s="35" t="s">
        <v>280</v>
      </c>
      <c r="HC63" s="35"/>
      <c r="HD63" s="34"/>
      <c r="HE63" s="35"/>
      <c r="HF63" s="35"/>
      <c r="HG63" s="35" t="str">
        <f>IF(OR(HG$1="RL",HG$1="SR"),"차지","")</f>
        <v>차지</v>
      </c>
      <c r="HH63" s="35" t="s">
        <v>158</v>
      </c>
      <c r="HI63" s="35"/>
      <c r="HJ63" s="34"/>
      <c r="HK63" s="35"/>
      <c r="HL63" s="35"/>
      <c r="HM63" s="35" t="str">
        <f>IF(OR(HM$1="RL",HM$1="SR"),"차지","")</f>
        <v/>
      </c>
      <c r="HN63" s="35"/>
      <c r="HO63" s="35"/>
      <c r="HP63" s="34"/>
      <c r="HQ63" s="35"/>
      <c r="HR63" s="35"/>
      <c r="HS63" s="35" t="str">
        <f>IF(OR(HS$1="RL",HS$1="SR"),"차지","")</f>
        <v/>
      </c>
      <c r="HT63" s="35"/>
      <c r="HU63" s="35"/>
      <c r="HV63" s="34"/>
      <c r="HW63" s="35"/>
      <c r="HX63" s="35" t="s">
        <v>262</v>
      </c>
      <c r="HY63" s="35" t="str">
        <f>IF(OR(HY$1="RL",HY$1="SR"),"차지","")</f>
        <v/>
      </c>
      <c r="HZ63" s="35" t="s">
        <v>262</v>
      </c>
      <c r="IA63" s="35"/>
      <c r="IB63" s="34"/>
      <c r="IC63" s="35"/>
      <c r="ID63" s="35"/>
      <c r="IE63" s="35" t="str">
        <f>IF(OR(IE$1="RL",IE$1="SR"),"차지","")</f>
        <v/>
      </c>
      <c r="IF63" s="35"/>
      <c r="IG63" s="35"/>
      <c r="IH63" s="34"/>
      <c r="II63" s="35" t="s">
        <v>158</v>
      </c>
      <c r="IJ63" s="35"/>
      <c r="IK63" s="35" t="str">
        <f>IF(OR(IK$1="RL",IK$1="SR"),"차지","")</f>
        <v/>
      </c>
      <c r="IL63" s="35"/>
      <c r="IM63" s="35"/>
      <c r="IN63" s="34"/>
      <c r="IO63" s="35"/>
      <c r="IP63" s="35"/>
      <c r="IQ63" s="35" t="str">
        <f>IF(OR(IQ$1="RL",IQ$1="SR"),"차지","")</f>
        <v/>
      </c>
      <c r="IR63" s="35"/>
      <c r="IS63" s="35"/>
      <c r="IT63" s="34"/>
      <c r="IU63" s="35" t="s">
        <v>262</v>
      </c>
      <c r="IV63" s="35"/>
      <c r="IW63" s="35" t="str">
        <f>IF(OR(IW$1="RL",IW$1="SR"),"차지","")</f>
        <v/>
      </c>
      <c r="IX63" s="35"/>
      <c r="IY63" s="35"/>
      <c r="IZ63" s="34"/>
      <c r="JA63" s="35"/>
      <c r="JB63" s="35"/>
      <c r="JC63" s="35" t="str">
        <f>IF(OR(JC$1="RL",JC$1="SR"),"차지","")</f>
        <v>차지</v>
      </c>
      <c r="JD63" s="35" t="s">
        <v>158</v>
      </c>
      <c r="JE63" s="35"/>
      <c r="JF63" s="34"/>
      <c r="JG63" s="35"/>
      <c r="JH63" s="35"/>
      <c r="JI63" s="35" t="str">
        <f>IF(OR(JI$1="RL",JI$1="SR"),"차지","")</f>
        <v>차지</v>
      </c>
      <c r="JJ63" s="35" t="s">
        <v>262</v>
      </c>
      <c r="JK63" s="35"/>
      <c r="JL63" s="34"/>
      <c r="JM63" s="35" t="s">
        <v>265</v>
      </c>
      <c r="JN63" s="35"/>
      <c r="JO63" s="35" t="str">
        <f>IF(OR(JO$1="RL",JO$1="SR"),"차지","")</f>
        <v/>
      </c>
      <c r="JP63" s="35"/>
      <c r="JQ63" s="35"/>
      <c r="JR63" s="34"/>
      <c r="JS63" s="35"/>
      <c r="JT63" s="35"/>
      <c r="JU63" s="35" t="str">
        <f>IF(OR(JU$1="RL",JU$1="SR"),"차지","")</f>
        <v>차지</v>
      </c>
      <c r="JV63" s="35" t="s">
        <v>280</v>
      </c>
      <c r="JW63" s="35" t="s">
        <v>260</v>
      </c>
      <c r="JX63" s="34"/>
      <c r="JY63" s="35"/>
      <c r="JZ63" s="35"/>
      <c r="KA63" s="35" t="str">
        <f>IF(OR(KA$1="RL",KA$1="SR"),"차지","")</f>
        <v>차지</v>
      </c>
      <c r="KB63" s="35" t="s">
        <v>280</v>
      </c>
      <c r="KC63" s="35" t="s">
        <v>260</v>
      </c>
      <c r="KD63" s="34"/>
      <c r="KE63" s="35"/>
      <c r="KF63" s="35"/>
      <c r="KG63" s="35" t="s">
        <v>260</v>
      </c>
      <c r="KH63" s="35" t="s">
        <v>262</v>
      </c>
      <c r="KI63" s="35"/>
      <c r="KJ63" s="34"/>
      <c r="KK63" s="35" t="s">
        <v>265</v>
      </c>
      <c r="KL63" s="35"/>
      <c r="KM63" s="35" t="str">
        <f>IF(OR(KM$1="RL",KM$1="SR"),"차지","")</f>
        <v/>
      </c>
      <c r="KN63" s="35"/>
      <c r="KO63" s="35"/>
      <c r="KP63" s="34"/>
      <c r="KQ63" s="35"/>
      <c r="KR63" s="35"/>
      <c r="KS63" s="35" t="str">
        <f>IF(OR(KS$1="RL",KS$1="SR"),"차지","")</f>
        <v/>
      </c>
      <c r="KT63" s="35"/>
      <c r="KU63" s="35"/>
      <c r="KV63" s="34"/>
      <c r="KW63" s="35"/>
      <c r="KX63" s="35"/>
      <c r="KY63" s="35" t="str">
        <f>IF(OR(KY$1="RL",KY$1="SR"),"차지","")</f>
        <v/>
      </c>
      <c r="KZ63" s="35" t="s">
        <v>264</v>
      </c>
      <c r="LA63" s="35" t="s">
        <v>263</v>
      </c>
      <c r="LB63" s="34"/>
      <c r="LC63" s="35" t="s">
        <v>437</v>
      </c>
      <c r="LD63" s="35"/>
      <c r="LE63" s="35" t="str">
        <f>IF(OR(LE$1="RL",LE$1="SR"),"차지","")</f>
        <v/>
      </c>
      <c r="LF63" s="35" t="s">
        <v>280</v>
      </c>
      <c r="LG63" s="35"/>
      <c r="LH63" s="34"/>
      <c r="LI63" s="35" t="s">
        <v>437</v>
      </c>
      <c r="LJ63" s="35"/>
      <c r="LK63" s="35" t="str">
        <f>IF(OR(LK$1="RL",LK$1="SR"),"차지","")</f>
        <v/>
      </c>
      <c r="LL63" s="35"/>
      <c r="LM63" s="35"/>
      <c r="LN63" s="34"/>
      <c r="LO63" s="35"/>
      <c r="LP63" s="35"/>
      <c r="LQ63" s="35" t="str">
        <f>IF(OR(LQ$1="RL",LQ$1="SR"),"차지","")</f>
        <v>차지</v>
      </c>
      <c r="LR63" s="35"/>
      <c r="LS63" s="35"/>
      <c r="LT63" s="34"/>
      <c r="LU63" s="35"/>
      <c r="LV63" s="35"/>
      <c r="LW63" s="35" t="str">
        <f>IF(OR(LW$1="RL",LW$1="SR"),"차지","")</f>
        <v>차지</v>
      </c>
      <c r="LX63" s="35" t="s">
        <v>262</v>
      </c>
      <c r="LY63" s="35" t="s">
        <v>262</v>
      </c>
      <c r="LZ63" s="34"/>
      <c r="MA63" s="35"/>
      <c r="MB63" s="35"/>
      <c r="MC63" s="35" t="str">
        <f>IF(OR(MC$1="RL",MC$1="SR"),"차지","")</f>
        <v/>
      </c>
      <c r="MD63" s="35"/>
      <c r="ME63" s="35"/>
      <c r="MF63" s="34"/>
      <c r="MG63" s="35"/>
      <c r="MH63" s="35"/>
      <c r="MI63" s="35" t="s">
        <v>439</v>
      </c>
      <c r="MJ63" s="35"/>
      <c r="MK63" s="35"/>
      <c r="ML63" s="34"/>
      <c r="MM63" s="35" t="s">
        <v>265</v>
      </c>
      <c r="MN63" s="35"/>
      <c r="MO63" s="35" t="str">
        <f>IF(OR(MO$1="RL",MO$1="SR"),"차지","")</f>
        <v>차지</v>
      </c>
      <c r="MP63" s="35" t="s">
        <v>260</v>
      </c>
      <c r="MQ63" s="35"/>
      <c r="MR63" s="34"/>
      <c r="MS63" s="35"/>
      <c r="MT63" s="35"/>
      <c r="MU63" s="35" t="str">
        <f>IF(OR(MU$1="RL",MU$1="SR"),"차지","")</f>
        <v>차지</v>
      </c>
      <c r="MV63" s="35" t="s">
        <v>496</v>
      </c>
      <c r="MW63" s="35"/>
      <c r="MX63" s="34" t="s">
        <v>414</v>
      </c>
      <c r="MY63" s="35"/>
      <c r="MZ63" s="35"/>
      <c r="NA63" s="35" t="str">
        <f>IF(OR(NA$1="RL",NA$1="SR"),"차지","")</f>
        <v>차지</v>
      </c>
      <c r="NB63" s="35"/>
      <c r="NC63" s="35"/>
      <c r="ND63" s="34"/>
      <c r="NE63" s="35"/>
      <c r="NF63" s="35"/>
      <c r="NG63" s="35" t="str">
        <f>IF(OR(NG$1="RL",NG$1="SR"),"차지","")</f>
        <v/>
      </c>
      <c r="NH63" s="35"/>
      <c r="NI63" s="35"/>
      <c r="NJ63" s="34"/>
    </row>
    <row r="64" spans="1:374" s="33" customFormat="1" x14ac:dyDescent="0.45">
      <c r="A64" s="274"/>
      <c r="B64" s="33" t="s">
        <v>440</v>
      </c>
      <c r="C64" s="35"/>
      <c r="D64" s="35"/>
      <c r="E64" s="35" t="str">
        <f>IF(E1="RL","발사체폭발","")</f>
        <v/>
      </c>
      <c r="F64" s="35"/>
      <c r="G64" s="35"/>
      <c r="H64" s="34"/>
      <c r="I64" s="35"/>
      <c r="J64" s="35"/>
      <c r="K64" s="35" t="str">
        <f>IF(K1="RL","발사체폭발","")</f>
        <v>발사체폭발</v>
      </c>
      <c r="L64" s="35"/>
      <c r="M64" s="35"/>
      <c r="N64" s="34"/>
      <c r="O64" s="35"/>
      <c r="P64" s="35"/>
      <c r="Q64" s="35" t="str">
        <f>IF(Q1="RL","발사체폭발","")</f>
        <v>발사체폭발</v>
      </c>
      <c r="R64" s="35"/>
      <c r="S64" s="35"/>
      <c r="T64" s="34"/>
      <c r="U64" s="35"/>
      <c r="V64" s="35"/>
      <c r="W64" s="35" t="str">
        <f>IF(W1="RL","발사체폭발","")</f>
        <v>발사체폭발</v>
      </c>
      <c r="X64" s="35"/>
      <c r="Y64" s="35"/>
      <c r="Z64" s="34"/>
      <c r="AA64" s="35"/>
      <c r="AB64" s="35"/>
      <c r="AC64" s="35" t="str">
        <f>IF(AC1="RL","발사체폭발","")</f>
        <v/>
      </c>
      <c r="AD64" s="35"/>
      <c r="AE64" s="35"/>
      <c r="AF64" s="34"/>
      <c r="AG64" s="35"/>
      <c r="AH64" s="35"/>
      <c r="AI64" s="35" t="str">
        <f>IF(AI1="RL","발사체폭발","")</f>
        <v/>
      </c>
      <c r="AJ64" s="35"/>
      <c r="AK64" s="35"/>
      <c r="AL64" s="34"/>
      <c r="AM64" s="35"/>
      <c r="AN64" s="35"/>
      <c r="AO64" s="35" t="str">
        <f>IF(AO1="RL","발사체폭발","")</f>
        <v/>
      </c>
      <c r="AP64" s="35"/>
      <c r="AQ64" s="35"/>
      <c r="AR64" s="34"/>
      <c r="AS64" s="35"/>
      <c r="AT64" s="35"/>
      <c r="AU64" s="35" t="str">
        <f>IF(AU1="RL","발사체폭발","")</f>
        <v/>
      </c>
      <c r="AV64" s="35" t="s">
        <v>268</v>
      </c>
      <c r="AW64" s="35"/>
      <c r="AX64" s="34"/>
      <c r="AY64" s="35"/>
      <c r="AZ64" s="35"/>
      <c r="BA64" s="35" t="str">
        <f>IF(BA1="RL","발사체폭발","")</f>
        <v/>
      </c>
      <c r="BB64" s="35" t="s">
        <v>268</v>
      </c>
      <c r="BC64" s="35"/>
      <c r="BD64" s="34"/>
      <c r="BE64" s="35"/>
      <c r="BF64" s="35"/>
      <c r="BG64" s="35" t="str">
        <f>IF(BG1="RL","발사체폭발","")</f>
        <v/>
      </c>
      <c r="BH64" s="35"/>
      <c r="BI64" s="35"/>
      <c r="BJ64" s="34"/>
      <c r="BK64" s="35"/>
      <c r="BL64" s="35"/>
      <c r="BM64" s="35" t="s">
        <v>261</v>
      </c>
      <c r="BN64" s="35" t="s">
        <v>261</v>
      </c>
      <c r="BO64" s="35"/>
      <c r="BP64" s="34"/>
      <c r="BQ64" s="35"/>
      <c r="BR64" s="35"/>
      <c r="BS64" s="35" t="str">
        <f>IF(BS1="RL","발사체폭발","")</f>
        <v/>
      </c>
      <c r="BT64" s="35"/>
      <c r="BU64" s="35"/>
      <c r="BV64" s="34"/>
      <c r="BW64" s="35"/>
      <c r="BX64" s="35"/>
      <c r="BY64" s="35" t="str">
        <f>IF(BY1="RL","발사체폭발","")</f>
        <v/>
      </c>
      <c r="BZ64" s="35"/>
      <c r="CA64" s="35"/>
      <c r="CB64" s="34"/>
      <c r="CC64" s="35"/>
      <c r="CD64" s="35"/>
      <c r="CE64" s="35" t="str">
        <f>IF(CE1="RL","발사체폭발","")</f>
        <v/>
      </c>
      <c r="CF64" s="35"/>
      <c r="CG64" s="35"/>
      <c r="CH64" s="34"/>
      <c r="CI64" s="35"/>
      <c r="CJ64" s="35"/>
      <c r="CK64" s="35" t="str">
        <f>IF(CK1="RL","발사체폭발","")</f>
        <v/>
      </c>
      <c r="CL64" s="35"/>
      <c r="CM64" s="35"/>
      <c r="CN64" s="34"/>
      <c r="CO64" s="35"/>
      <c r="CP64" s="35"/>
      <c r="CQ64" s="35" t="str">
        <f>IF(CQ1="RL","발사체폭발","")</f>
        <v/>
      </c>
      <c r="CR64" s="35"/>
      <c r="CS64" s="35"/>
      <c r="CT64" s="34"/>
      <c r="CU64" s="35"/>
      <c r="CV64" s="35"/>
      <c r="CW64" s="35" t="str">
        <f>IF(CW1="RL","발사체폭발","")</f>
        <v/>
      </c>
      <c r="CX64" s="35"/>
      <c r="CY64" s="35"/>
      <c r="CZ64" s="34"/>
      <c r="DA64" s="35"/>
      <c r="DB64" s="35"/>
      <c r="DC64" s="35" t="str">
        <f>IF(DC1="RL","발사체폭발","")</f>
        <v/>
      </c>
      <c r="DD64" s="35"/>
      <c r="DE64" s="35"/>
      <c r="DF64" s="34"/>
      <c r="DG64" s="35"/>
      <c r="DH64" s="35"/>
      <c r="DI64" s="35" t="str">
        <f>IF(DI1="RL","발사체폭발","")</f>
        <v/>
      </c>
      <c r="DJ64" s="35"/>
      <c r="DK64" s="35"/>
      <c r="DL64" s="34"/>
      <c r="DM64" s="35"/>
      <c r="DN64" s="35"/>
      <c r="DO64" s="35" t="str">
        <f>IF(DO1="RL","발사체폭발","")</f>
        <v/>
      </c>
      <c r="DP64" s="35"/>
      <c r="DQ64" s="35"/>
      <c r="DR64" s="34"/>
      <c r="DS64" s="35"/>
      <c r="DT64" s="35"/>
      <c r="DU64" s="35" t="str">
        <f>IF(DU1="RL","발사체폭발","")</f>
        <v/>
      </c>
      <c r="DV64" s="35"/>
      <c r="DW64" s="35"/>
      <c r="DX64" s="34"/>
      <c r="DY64" s="35"/>
      <c r="DZ64" s="35"/>
      <c r="EA64" s="35" t="str">
        <f>IF(EA1="RL","발사체폭발","")</f>
        <v>발사체폭발</v>
      </c>
      <c r="EB64" s="35"/>
      <c r="EC64" s="35"/>
      <c r="ED64" s="34"/>
      <c r="EE64" s="35"/>
      <c r="EF64" s="35"/>
      <c r="EG64" s="35" t="str">
        <f>IF(EG1="RL","발사체폭발","")</f>
        <v>발사체폭발</v>
      </c>
      <c r="EH64" s="35"/>
      <c r="EI64" s="35"/>
      <c r="EJ64" s="34"/>
      <c r="EK64" s="35"/>
      <c r="EL64" s="35"/>
      <c r="EM64" s="35" t="str">
        <f>IF(EM1="RL","발사체폭발","")</f>
        <v/>
      </c>
      <c r="EN64" s="35"/>
      <c r="EO64" s="35"/>
      <c r="EP64" s="34"/>
      <c r="EQ64" s="35"/>
      <c r="ER64" s="35"/>
      <c r="ES64" s="35" t="str">
        <f>IF(ES1="RL","발사체폭발","")</f>
        <v/>
      </c>
      <c r="ET64" s="35"/>
      <c r="EU64" s="35"/>
      <c r="EV64" s="34"/>
      <c r="EW64" s="35"/>
      <c r="EX64" s="35"/>
      <c r="EY64" s="35" t="str">
        <f>IF(EY1="RL","발사체폭발","")</f>
        <v/>
      </c>
      <c r="EZ64" s="35"/>
      <c r="FA64" s="35"/>
      <c r="FB64" s="34"/>
      <c r="FC64" s="35"/>
      <c r="FD64" s="35"/>
      <c r="FE64" s="35" t="str">
        <f>IF(FE1="RL","발사체폭발","")</f>
        <v/>
      </c>
      <c r="FF64" s="35"/>
      <c r="FG64" s="35"/>
      <c r="FH64" s="34"/>
      <c r="FI64" s="35"/>
      <c r="FJ64" s="35"/>
      <c r="FK64" s="35" t="str">
        <f>IF(FK1="RL","발사체폭발","")</f>
        <v/>
      </c>
      <c r="FL64" s="35"/>
      <c r="FM64" s="35"/>
      <c r="FN64" s="34"/>
      <c r="FO64" s="35"/>
      <c r="FP64" s="35"/>
      <c r="FQ64" s="35" t="str">
        <f>IF(FQ1="RL","발사체폭발","")</f>
        <v>발사체폭발</v>
      </c>
      <c r="FR64" s="35"/>
      <c r="FS64" s="35" t="s">
        <v>260</v>
      </c>
      <c r="FT64" s="34"/>
      <c r="FU64" s="35"/>
      <c r="FV64" s="35"/>
      <c r="FW64" s="35" t="str">
        <f>IF(FW1="RL","발사체폭발","")</f>
        <v>발사체폭발</v>
      </c>
      <c r="FX64" s="35"/>
      <c r="FY64" s="35" t="s">
        <v>260</v>
      </c>
      <c r="FZ64" s="34"/>
      <c r="GA64" s="35"/>
      <c r="GB64" s="35"/>
      <c r="GC64" s="35" t="str">
        <f>IF(GC1="RL","발사체폭발","")</f>
        <v/>
      </c>
      <c r="GD64" s="35"/>
      <c r="GE64" s="35"/>
      <c r="GF64" s="34"/>
      <c r="GG64" s="35"/>
      <c r="GH64" s="35"/>
      <c r="GI64" s="35" t="str">
        <f>IF(GI1="RL","발사체폭발","")</f>
        <v>발사체폭발</v>
      </c>
      <c r="GJ64" s="35"/>
      <c r="GK64" s="35"/>
      <c r="GL64" s="34"/>
      <c r="GM64" s="35"/>
      <c r="GN64" s="35"/>
      <c r="GO64" s="35" t="str">
        <f>IF(GO1="RL","발사체폭발","")</f>
        <v>발사체폭발</v>
      </c>
      <c r="GP64" s="35"/>
      <c r="GQ64" s="35"/>
      <c r="GR64" s="34"/>
      <c r="GS64" s="35"/>
      <c r="GT64" s="35"/>
      <c r="GU64" s="35" t="str">
        <f>IF(GU1="RL","발사체폭발","")</f>
        <v/>
      </c>
      <c r="GV64" s="35"/>
      <c r="GW64" s="35"/>
      <c r="GX64" s="34" t="s">
        <v>261</v>
      </c>
      <c r="GY64" s="35"/>
      <c r="GZ64" s="35"/>
      <c r="HA64" s="35" t="str">
        <f>IF(HA1="RL","발사체폭발","")</f>
        <v/>
      </c>
      <c r="HB64" s="35" t="s">
        <v>261</v>
      </c>
      <c r="HC64" s="35"/>
      <c r="HD64" s="34"/>
      <c r="HE64" s="35"/>
      <c r="HF64" s="35"/>
      <c r="HG64" s="35" t="s">
        <v>261</v>
      </c>
      <c r="HH64" s="35"/>
      <c r="HI64" s="35"/>
      <c r="HJ64" s="34"/>
      <c r="HK64" s="35"/>
      <c r="HL64" s="35"/>
      <c r="HM64" s="35" t="str">
        <f>IF(HM1="RL","발사체폭발","")</f>
        <v/>
      </c>
      <c r="HN64" s="35"/>
      <c r="HO64" s="35"/>
      <c r="HP64" s="34"/>
      <c r="HQ64" s="35"/>
      <c r="HR64" s="35"/>
      <c r="HS64" s="35" t="str">
        <f>IF(HS1="RL","발사체폭발","")</f>
        <v/>
      </c>
      <c r="HT64" s="35"/>
      <c r="HU64" s="35"/>
      <c r="HV64" s="34"/>
      <c r="HW64" s="35"/>
      <c r="HX64" s="35"/>
      <c r="HY64" s="35" t="str">
        <f>IF(HY1="RL","발사체폭발","")</f>
        <v/>
      </c>
      <c r="HZ64" s="35"/>
      <c r="IA64" s="35"/>
      <c r="IB64" s="34"/>
      <c r="IC64" s="35"/>
      <c r="ID64" s="35"/>
      <c r="IE64" s="35" t="str">
        <f>IF(IE1="RL","발사체폭발","")</f>
        <v/>
      </c>
      <c r="IF64" s="35"/>
      <c r="IG64" s="35"/>
      <c r="IH64" s="34"/>
      <c r="II64" s="35"/>
      <c r="IJ64" s="35"/>
      <c r="IK64" s="35" t="str">
        <f>IF(IK1="RL","발사체폭발","")</f>
        <v/>
      </c>
      <c r="IL64" s="35"/>
      <c r="IM64" s="35"/>
      <c r="IN64" s="34"/>
      <c r="IO64" s="35"/>
      <c r="IP64" s="35"/>
      <c r="IQ64" s="35" t="str">
        <f>IF(IQ1="RL","발사체폭발","")</f>
        <v/>
      </c>
      <c r="IR64" s="35"/>
      <c r="IS64" s="35"/>
      <c r="IT64" s="34"/>
      <c r="IU64" s="35"/>
      <c r="IV64" s="35"/>
      <c r="IW64" s="35" t="str">
        <f>IF(IW1="RL","발사체폭발","")</f>
        <v/>
      </c>
      <c r="IX64" s="35"/>
      <c r="IY64" s="35"/>
      <c r="IZ64" s="34"/>
      <c r="JA64" s="35"/>
      <c r="JB64" s="35"/>
      <c r="JC64" s="35" t="str">
        <f>IF(JC1="RL","발사체폭발","")</f>
        <v/>
      </c>
      <c r="JD64" s="35"/>
      <c r="JE64" s="35"/>
      <c r="JF64" s="34"/>
      <c r="JG64" s="35"/>
      <c r="JH64" s="35"/>
      <c r="JI64" s="35" t="str">
        <f>IF(JI1="RL","발사체폭발","")</f>
        <v/>
      </c>
      <c r="JJ64" s="35"/>
      <c r="JK64" s="35"/>
      <c r="JL64" s="34"/>
      <c r="JM64" s="35"/>
      <c r="JN64" s="35"/>
      <c r="JO64" s="35" t="str">
        <f>IF(JO1="RL","발사체폭발","")</f>
        <v/>
      </c>
      <c r="JP64" s="35"/>
      <c r="JQ64" s="35"/>
      <c r="JR64" s="34"/>
      <c r="JS64" s="35"/>
      <c r="JT64" s="35"/>
      <c r="JU64" s="35" t="str">
        <f>IF(JU1="RL","발사체폭발","")</f>
        <v>발사체폭발</v>
      </c>
      <c r="JV64" s="35" t="s">
        <v>263</v>
      </c>
      <c r="JW64" s="35"/>
      <c r="JX64" s="34"/>
      <c r="JY64" s="35"/>
      <c r="JZ64" s="35"/>
      <c r="KA64" s="35" t="str">
        <f>IF(KA1="RL","발사체폭발","")</f>
        <v>발사체폭발</v>
      </c>
      <c r="KB64" s="35" t="s">
        <v>263</v>
      </c>
      <c r="KC64" s="35"/>
      <c r="KD64" s="34"/>
      <c r="KE64" s="35"/>
      <c r="KF64" s="35"/>
      <c r="KG64" s="35" t="str">
        <f>IF(KG1="RL","발사체폭발","")</f>
        <v/>
      </c>
      <c r="KH64" s="35"/>
      <c r="KI64" s="35"/>
      <c r="KJ64" s="34"/>
      <c r="KK64" s="35"/>
      <c r="KL64" s="35"/>
      <c r="KM64" s="35" t="str">
        <f>IF(KM1="RL","발사체폭발","")</f>
        <v/>
      </c>
      <c r="KN64" s="35"/>
      <c r="KO64" s="35"/>
      <c r="KP64" s="34"/>
      <c r="KQ64" s="35"/>
      <c r="KR64" s="35"/>
      <c r="KS64" s="35" t="str">
        <f>IF(KS1="RL","발사체폭발","")</f>
        <v/>
      </c>
      <c r="KT64" s="35"/>
      <c r="KU64" s="35"/>
      <c r="KV64" s="34"/>
      <c r="KW64" s="35"/>
      <c r="KX64" s="35"/>
      <c r="KY64" s="35" t="str">
        <f>IF(KY1="RL","발사체폭발","")</f>
        <v/>
      </c>
      <c r="KZ64" s="35"/>
      <c r="LA64" s="35"/>
      <c r="LB64" s="34"/>
      <c r="LC64" s="35"/>
      <c r="LD64" s="35"/>
      <c r="LE64" s="35" t="str">
        <f>IF(LE1="RL","발사체폭발","")</f>
        <v/>
      </c>
      <c r="LF64" s="35" t="s">
        <v>263</v>
      </c>
      <c r="LG64" s="35"/>
      <c r="LH64" s="34"/>
      <c r="LI64" s="35"/>
      <c r="LJ64" s="35"/>
      <c r="LK64" s="35" t="str">
        <f>IF(LK1="RL","발사체폭발","")</f>
        <v/>
      </c>
      <c r="LL64" s="35"/>
      <c r="LM64" s="35"/>
      <c r="LN64" s="34"/>
      <c r="LO64" s="35"/>
      <c r="LP64" s="35"/>
      <c r="LQ64" s="35" t="str">
        <f>IF(LQ1="RL","발사체폭발","")</f>
        <v/>
      </c>
      <c r="LR64" s="35"/>
      <c r="LS64" s="35"/>
      <c r="LT64" s="34"/>
      <c r="LU64" s="35"/>
      <c r="LV64" s="35"/>
      <c r="LW64" s="35" t="str">
        <f>IF(LW1="RL","발사체폭발","")</f>
        <v>발사체폭발</v>
      </c>
      <c r="LX64" s="35"/>
      <c r="LY64" s="35"/>
      <c r="LZ64" s="34"/>
      <c r="MA64" s="35"/>
      <c r="MB64" s="35"/>
      <c r="MC64" s="35" t="str">
        <f>IF(MC1="RL","발사체폭발","")</f>
        <v/>
      </c>
      <c r="MD64" s="35"/>
      <c r="ME64" s="35"/>
      <c r="MF64" s="34"/>
      <c r="MG64" s="35"/>
      <c r="MH64" s="35"/>
      <c r="MI64" s="35" t="str">
        <f>IF(MI1="RL","발사체폭발","")</f>
        <v/>
      </c>
      <c r="MJ64" s="35"/>
      <c r="MK64" s="35"/>
      <c r="ML64" s="34"/>
      <c r="MM64" s="35" t="s">
        <v>260</v>
      </c>
      <c r="MN64" s="35"/>
      <c r="MO64" s="35" t="str">
        <f>IF(MO1="RL","발사체폭발","")</f>
        <v>발사체폭발</v>
      </c>
      <c r="MP64" s="35"/>
      <c r="MQ64" s="35"/>
      <c r="MR64" s="34"/>
      <c r="MS64" s="35"/>
      <c r="MT64" s="35"/>
      <c r="MU64" s="35" t="s">
        <v>261</v>
      </c>
      <c r="MV64" s="35" t="s">
        <v>439</v>
      </c>
      <c r="MW64" s="35"/>
      <c r="MX64" s="34"/>
      <c r="MY64" s="35"/>
      <c r="MZ64" s="35"/>
      <c r="NA64" s="35" t="str">
        <f>IF(NA1="RL","발사체폭발","")</f>
        <v>발사체폭발</v>
      </c>
      <c r="NB64" s="35"/>
      <c r="NC64" s="35"/>
      <c r="ND64" s="34"/>
      <c r="NE64" s="35"/>
      <c r="NF64" s="35"/>
      <c r="NG64" s="35" t="str">
        <f>IF(NG1="RL","발사체폭발","")</f>
        <v/>
      </c>
      <c r="NH64" s="35"/>
      <c r="NI64" s="35"/>
      <c r="NJ64" s="34"/>
    </row>
    <row r="65" spans="1:374" s="33" customFormat="1" x14ac:dyDescent="0.45">
      <c r="A65" s="275"/>
      <c r="B65" s="33" t="s">
        <v>441</v>
      </c>
      <c r="C65" s="35"/>
      <c r="D65" s="35"/>
      <c r="E65" s="35"/>
      <c r="F65" s="35"/>
      <c r="G65" s="35"/>
      <c r="H65" s="34"/>
      <c r="I65" s="35"/>
      <c r="J65" s="35"/>
      <c r="K65" s="35"/>
      <c r="L65" s="35" t="s">
        <v>383</v>
      </c>
      <c r="M65" s="35" t="s">
        <v>383</v>
      </c>
      <c r="N65" s="34" t="s">
        <v>383</v>
      </c>
      <c r="O65" s="35"/>
      <c r="P65" s="35"/>
      <c r="Q65" s="35"/>
      <c r="R65" s="35" t="s">
        <v>383</v>
      </c>
      <c r="S65" s="35" t="s">
        <v>383</v>
      </c>
      <c r="T65" s="34" t="s">
        <v>383</v>
      </c>
      <c r="U65" s="35"/>
      <c r="V65" s="35"/>
      <c r="W65" s="35"/>
      <c r="X65" s="35" t="s">
        <v>383</v>
      </c>
      <c r="Y65" s="35"/>
      <c r="Z65" s="34"/>
      <c r="AA65" s="35"/>
      <c r="AB65" s="35"/>
      <c r="AC65" s="35"/>
      <c r="AD65" s="35"/>
      <c r="AE65" s="35"/>
      <c r="AF65" s="34"/>
      <c r="AG65" s="35"/>
      <c r="AH65" s="35"/>
      <c r="AI65" s="35"/>
      <c r="AJ65" s="35"/>
      <c r="AK65" s="35"/>
      <c r="AL65" s="34"/>
      <c r="AM65" s="35"/>
      <c r="AN65" s="35"/>
      <c r="AO65" s="35"/>
      <c r="AP65" s="35"/>
      <c r="AQ65" s="35"/>
      <c r="AR65" s="34"/>
      <c r="AS65" s="35"/>
      <c r="AT65" s="35"/>
      <c r="AU65" s="35"/>
      <c r="AV65" s="35"/>
      <c r="AW65" s="35"/>
      <c r="AX65" s="34"/>
      <c r="AY65" s="35"/>
      <c r="AZ65" s="35"/>
      <c r="BA65" s="35"/>
      <c r="BB65" s="35"/>
      <c r="BC65" s="35"/>
      <c r="BD65" s="34"/>
      <c r="BE65" s="35"/>
      <c r="BF65" s="35"/>
      <c r="BG65" s="35"/>
      <c r="BH65" s="35" t="s">
        <v>383</v>
      </c>
      <c r="BI65" s="35"/>
      <c r="BJ65" s="34"/>
      <c r="BK65" s="35"/>
      <c r="BL65" s="35"/>
      <c r="BM65" s="35"/>
      <c r="BN65" s="35"/>
      <c r="BO65" s="35"/>
      <c r="BP65" s="34"/>
      <c r="BQ65" s="35"/>
      <c r="BR65" s="35"/>
      <c r="BS65" s="35"/>
      <c r="BT65" s="35"/>
      <c r="BU65" s="35"/>
      <c r="BV65" s="34"/>
      <c r="BW65" s="35"/>
      <c r="BX65" s="35"/>
      <c r="BY65" s="35"/>
      <c r="BZ65" s="35"/>
      <c r="CA65" s="35"/>
      <c r="CB65" s="34"/>
      <c r="CC65" s="35"/>
      <c r="CD65" s="35"/>
      <c r="CE65" s="35"/>
      <c r="CF65" s="35"/>
      <c r="CG65" s="35"/>
      <c r="CH65" s="34"/>
      <c r="CI65" s="35"/>
      <c r="CJ65" s="35"/>
      <c r="CK65" s="35"/>
      <c r="CL65" s="35" t="s">
        <v>442</v>
      </c>
      <c r="CM65" s="35" t="s">
        <v>442</v>
      </c>
      <c r="CN65" s="34"/>
      <c r="CO65" s="35"/>
      <c r="CP65" s="35"/>
      <c r="CQ65" s="35"/>
      <c r="CR65" s="35"/>
      <c r="CS65" s="35"/>
      <c r="CT65" s="34"/>
      <c r="CU65" s="35"/>
      <c r="CV65" s="35"/>
      <c r="CW65" s="35"/>
      <c r="CX65" s="35"/>
      <c r="CY65" s="35"/>
      <c r="CZ65" s="34"/>
      <c r="DA65" s="35"/>
      <c r="DB65" s="35"/>
      <c r="DC65" s="35"/>
      <c r="DD65" s="35"/>
      <c r="DE65" s="35"/>
      <c r="DF65" s="34"/>
      <c r="DG65" s="35"/>
      <c r="DH65" s="35"/>
      <c r="DI65" s="35"/>
      <c r="DJ65" s="35"/>
      <c r="DK65" s="35"/>
      <c r="DL65" s="34"/>
      <c r="DM65" s="35"/>
      <c r="DN65" s="35"/>
      <c r="DO65" s="35"/>
      <c r="DP65" s="35"/>
      <c r="DQ65" s="35"/>
      <c r="DR65" s="34"/>
      <c r="DS65" s="35"/>
      <c r="DT65" s="35"/>
      <c r="DU65" s="35"/>
      <c r="DV65" s="35"/>
      <c r="DW65" s="35"/>
      <c r="DX65" s="34"/>
      <c r="DY65" s="35"/>
      <c r="DZ65" s="35"/>
      <c r="EA65" s="35"/>
      <c r="EB65" s="35"/>
      <c r="EC65" s="35"/>
      <c r="ED65" s="34"/>
      <c r="EE65" s="35"/>
      <c r="EF65" s="35"/>
      <c r="EG65" s="35"/>
      <c r="EH65" s="35"/>
      <c r="EI65" s="35"/>
      <c r="EJ65" s="34"/>
      <c r="EK65" s="35"/>
      <c r="EL65" s="35"/>
      <c r="EM65" s="35"/>
      <c r="EN65" s="35"/>
      <c r="EO65" s="35"/>
      <c r="EP65" s="34"/>
      <c r="EQ65" s="35"/>
      <c r="ER65" s="35"/>
      <c r="ES65" s="35"/>
      <c r="ET65" s="35"/>
      <c r="EU65" s="35"/>
      <c r="EV65" s="34"/>
      <c r="EW65" s="35"/>
      <c r="EX65" s="35"/>
      <c r="EY65" s="35"/>
      <c r="EZ65" s="35"/>
      <c r="FA65" s="35"/>
      <c r="FB65" s="34"/>
      <c r="FC65" s="35"/>
      <c r="FD65" s="35"/>
      <c r="FE65" s="35"/>
      <c r="FF65" s="35"/>
      <c r="FG65" s="35"/>
      <c r="FH65" s="34"/>
      <c r="FI65" s="35"/>
      <c r="FJ65" s="35"/>
      <c r="FK65" s="35"/>
      <c r="FL65" s="35"/>
      <c r="FM65" s="35"/>
      <c r="FN65" s="34"/>
      <c r="FO65" s="35"/>
      <c r="FP65" s="35"/>
      <c r="FQ65" s="35"/>
      <c r="FR65" s="35" t="s">
        <v>383</v>
      </c>
      <c r="FS65" s="35"/>
      <c r="FT65" s="34"/>
      <c r="FU65" s="35"/>
      <c r="FV65" s="35"/>
      <c r="FW65" s="35"/>
      <c r="FX65" s="35" t="s">
        <v>383</v>
      </c>
      <c r="FY65" s="35"/>
      <c r="FZ65" s="34"/>
      <c r="GA65" s="35"/>
      <c r="GB65" s="35"/>
      <c r="GC65" s="35"/>
      <c r="GD65" s="35"/>
      <c r="GE65" s="35"/>
      <c r="GF65" s="34"/>
      <c r="GG65" s="35"/>
      <c r="GH65" s="35"/>
      <c r="GI65" s="35"/>
      <c r="GJ65" s="35"/>
      <c r="GK65" s="35"/>
      <c r="GL65" s="34"/>
      <c r="GM65" s="35"/>
      <c r="GN65" s="35"/>
      <c r="GO65" s="35"/>
      <c r="GP65" s="35"/>
      <c r="GQ65" s="35"/>
      <c r="GR65" s="34"/>
      <c r="GS65" s="35"/>
      <c r="GT65" s="35"/>
      <c r="GU65" s="35"/>
      <c r="GV65" s="35"/>
      <c r="GW65" s="35"/>
      <c r="GX65" s="34"/>
      <c r="GY65" s="35"/>
      <c r="GZ65" s="35"/>
      <c r="HA65" s="35"/>
      <c r="HB65" s="35"/>
      <c r="HC65" s="35"/>
      <c r="HD65" s="34"/>
      <c r="HE65" s="35"/>
      <c r="HF65" s="35"/>
      <c r="HG65" s="35"/>
      <c r="HH65" s="35"/>
      <c r="HI65" s="35"/>
      <c r="HJ65" s="34"/>
      <c r="HK65" s="35"/>
      <c r="HL65" s="35"/>
      <c r="HM65" s="35"/>
      <c r="HN65" s="35"/>
      <c r="HO65" s="35"/>
      <c r="HP65" s="34"/>
      <c r="HQ65" s="35"/>
      <c r="HR65" s="35"/>
      <c r="HS65" s="35"/>
      <c r="HT65" s="35"/>
      <c r="HU65" s="35"/>
      <c r="HV65" s="34"/>
      <c r="HW65" s="35"/>
      <c r="HX65" s="35"/>
      <c r="HY65" s="35"/>
      <c r="HZ65" s="35"/>
      <c r="IA65" s="35"/>
      <c r="IB65" s="34"/>
      <c r="IC65" s="35"/>
      <c r="ID65" s="35"/>
      <c r="IE65" s="35"/>
      <c r="IF65" s="35"/>
      <c r="IG65" s="35"/>
      <c r="IH65" s="34"/>
      <c r="II65" s="35"/>
      <c r="IJ65" s="35"/>
      <c r="IK65" s="35"/>
      <c r="IL65" s="35"/>
      <c r="IM65" s="35"/>
      <c r="IN65" s="34"/>
      <c r="IO65" s="35"/>
      <c r="IP65" s="35"/>
      <c r="IQ65" s="35"/>
      <c r="IR65" s="35"/>
      <c r="IS65" s="35"/>
      <c r="IT65" s="34"/>
      <c r="IU65" s="35"/>
      <c r="IV65" s="35"/>
      <c r="IW65" s="35"/>
      <c r="IX65" s="35"/>
      <c r="IY65" s="35"/>
      <c r="IZ65" s="34"/>
      <c r="JA65" s="35"/>
      <c r="JB65" s="35"/>
      <c r="JC65" s="35"/>
      <c r="JD65" s="35" t="s">
        <v>383</v>
      </c>
      <c r="JE65" s="35"/>
      <c r="JF65" s="34"/>
      <c r="JG65" s="35"/>
      <c r="JH65" s="35"/>
      <c r="JI65" s="35"/>
      <c r="JJ65" s="35"/>
      <c r="JK65" s="35"/>
      <c r="JL65" s="34"/>
      <c r="JM65" s="35"/>
      <c r="JN65" s="35"/>
      <c r="JO65" s="35"/>
      <c r="JP65" s="35" t="s">
        <v>443</v>
      </c>
      <c r="JQ65" s="35" t="s">
        <v>443</v>
      </c>
      <c r="JR65" s="34"/>
      <c r="JS65" s="35"/>
      <c r="JT65" s="35"/>
      <c r="JU65" s="35"/>
      <c r="JV65" s="35"/>
      <c r="JW65" s="35"/>
      <c r="JX65" s="34"/>
      <c r="JY65" s="35"/>
      <c r="JZ65" s="35"/>
      <c r="KA65" s="35"/>
      <c r="KB65" s="35"/>
      <c r="KC65" s="35"/>
      <c r="KD65" s="34"/>
      <c r="KE65" s="35"/>
      <c r="KF65" s="35"/>
      <c r="KG65" s="35"/>
      <c r="KH65" s="35"/>
      <c r="KI65" s="35"/>
      <c r="KJ65" s="34"/>
      <c r="KK65" s="35"/>
      <c r="KL65" s="35"/>
      <c r="KM65" s="35"/>
      <c r="KN65" s="35"/>
      <c r="KO65" s="35"/>
      <c r="KP65" s="34"/>
      <c r="KQ65" s="35"/>
      <c r="KR65" s="35"/>
      <c r="KS65" s="35"/>
      <c r="KT65" s="35"/>
      <c r="KU65" s="35"/>
      <c r="KV65" s="34"/>
      <c r="KW65" s="35"/>
      <c r="KX65" s="35"/>
      <c r="KY65" s="35"/>
      <c r="KZ65" s="35"/>
      <c r="LA65" s="35"/>
      <c r="LB65" s="34"/>
      <c r="LC65" s="35"/>
      <c r="LD65" s="35"/>
      <c r="LE65" s="35"/>
      <c r="LF65" s="35"/>
      <c r="LG65" s="35" t="s">
        <v>383</v>
      </c>
      <c r="LH65" s="34" t="s">
        <v>383</v>
      </c>
      <c r="LI65" s="35"/>
      <c r="LJ65" s="35"/>
      <c r="LK65" s="35"/>
      <c r="LL65" s="35"/>
      <c r="LM65" s="35"/>
      <c r="LN65" s="34"/>
      <c r="LO65" s="35"/>
      <c r="LP65" s="35"/>
      <c r="LQ65" s="35"/>
      <c r="LR65" s="35"/>
      <c r="LS65" s="35"/>
      <c r="LT65" s="34"/>
      <c r="LU65" s="35"/>
      <c r="LV65" s="35"/>
      <c r="LW65" s="35"/>
      <c r="LX65" s="35"/>
      <c r="LY65" s="35"/>
      <c r="LZ65" s="34"/>
      <c r="MA65" s="35"/>
      <c r="MB65" s="35"/>
      <c r="MC65" s="35"/>
      <c r="MD65" s="35" t="s">
        <v>442</v>
      </c>
      <c r="ME65" s="35"/>
      <c r="MF65" s="34"/>
      <c r="MG65" s="35"/>
      <c r="MH65" s="35"/>
      <c r="MI65" s="35"/>
      <c r="MJ65" s="35"/>
      <c r="MK65" s="35"/>
      <c r="ML65" s="34"/>
      <c r="MM65" s="35"/>
      <c r="MN65" s="35"/>
      <c r="MO65" s="35"/>
      <c r="MP65" s="35"/>
      <c r="MQ65" s="35"/>
      <c r="MR65" s="34"/>
      <c r="MS65" s="35"/>
      <c r="MT65" s="35"/>
      <c r="MU65" s="35"/>
      <c r="MV65" s="35"/>
      <c r="MW65" s="35" t="s">
        <v>383</v>
      </c>
      <c r="MX65" s="34" t="s">
        <v>383</v>
      </c>
      <c r="MY65" s="35"/>
      <c r="MZ65" s="35"/>
      <c r="NA65" s="35"/>
      <c r="NB65" s="35"/>
      <c r="NC65" s="35"/>
      <c r="ND65" s="34"/>
      <c r="NE65" s="35"/>
      <c r="NF65" s="35"/>
      <c r="NG65" s="35"/>
      <c r="NH65" s="35"/>
      <c r="NI65" s="35"/>
      <c r="NJ65" s="34"/>
    </row>
    <row r="66" spans="1:374" s="37" customFormat="1" x14ac:dyDescent="0.45">
      <c r="B66" s="38"/>
      <c r="C66" s="37" t="s">
        <v>206</v>
      </c>
      <c r="E66" s="37" t="s">
        <v>61</v>
      </c>
      <c r="F66" s="37" t="s">
        <v>62</v>
      </c>
      <c r="G66" s="37" t="s">
        <v>63</v>
      </c>
      <c r="H66" s="39" t="s">
        <v>64</v>
      </c>
      <c r="I66" s="37" t="s">
        <v>206</v>
      </c>
      <c r="K66" s="37" t="s">
        <v>61</v>
      </c>
      <c r="L66" s="37" t="s">
        <v>62</v>
      </c>
      <c r="M66" s="37" t="s">
        <v>63</v>
      </c>
      <c r="N66" s="39" t="s">
        <v>64</v>
      </c>
      <c r="O66" s="37" t="s">
        <v>206</v>
      </c>
      <c r="Q66" s="37" t="s">
        <v>61</v>
      </c>
      <c r="R66" s="37" t="s">
        <v>62</v>
      </c>
      <c r="S66" s="37" t="s">
        <v>63</v>
      </c>
      <c r="T66" s="39" t="s">
        <v>64</v>
      </c>
      <c r="U66" s="37" t="s">
        <v>206</v>
      </c>
      <c r="W66" s="37" t="s">
        <v>61</v>
      </c>
      <c r="X66" s="37" t="s">
        <v>62</v>
      </c>
      <c r="Y66" s="37" t="s">
        <v>63</v>
      </c>
      <c r="Z66" s="39" t="s">
        <v>64</v>
      </c>
      <c r="AA66" s="37" t="s">
        <v>206</v>
      </c>
      <c r="AC66" s="37" t="s">
        <v>61</v>
      </c>
      <c r="AD66" s="37" t="s">
        <v>62</v>
      </c>
      <c r="AE66" s="37" t="s">
        <v>63</v>
      </c>
      <c r="AF66" s="39" t="s">
        <v>64</v>
      </c>
      <c r="AG66" s="37" t="s">
        <v>206</v>
      </c>
      <c r="AI66" s="37" t="s">
        <v>61</v>
      </c>
      <c r="AJ66" s="37" t="s">
        <v>62</v>
      </c>
      <c r="AK66" s="37" t="s">
        <v>63</v>
      </c>
      <c r="AL66" s="39" t="s">
        <v>64</v>
      </c>
      <c r="AM66" s="37" t="s">
        <v>206</v>
      </c>
      <c r="AO66" s="37" t="s">
        <v>61</v>
      </c>
      <c r="AP66" s="37" t="s">
        <v>62</v>
      </c>
      <c r="AQ66" s="37" t="s">
        <v>63</v>
      </c>
      <c r="AR66" s="39" t="s">
        <v>64</v>
      </c>
      <c r="AS66" s="37" t="s">
        <v>206</v>
      </c>
      <c r="AU66" s="37" t="s">
        <v>61</v>
      </c>
      <c r="AV66" s="37" t="s">
        <v>62</v>
      </c>
      <c r="AW66" s="37" t="s">
        <v>63</v>
      </c>
      <c r="AX66" s="39" t="s">
        <v>64</v>
      </c>
      <c r="AY66" s="37" t="s">
        <v>206</v>
      </c>
      <c r="BA66" s="37" t="s">
        <v>61</v>
      </c>
      <c r="BB66" s="37" t="s">
        <v>62</v>
      </c>
      <c r="BC66" s="37" t="s">
        <v>63</v>
      </c>
      <c r="BD66" s="39" t="s">
        <v>64</v>
      </c>
      <c r="BE66" s="37" t="s">
        <v>206</v>
      </c>
      <c r="BG66" s="37" t="s">
        <v>61</v>
      </c>
      <c r="BH66" s="37" t="s">
        <v>62</v>
      </c>
      <c r="BI66" s="37" t="s">
        <v>63</v>
      </c>
      <c r="BJ66" s="39" t="s">
        <v>64</v>
      </c>
      <c r="BK66" s="37" t="s">
        <v>206</v>
      </c>
      <c r="BM66" s="37" t="s">
        <v>61</v>
      </c>
      <c r="BN66" s="37" t="s">
        <v>62</v>
      </c>
      <c r="BO66" s="37" t="s">
        <v>63</v>
      </c>
      <c r="BP66" s="39" t="s">
        <v>64</v>
      </c>
      <c r="BQ66" s="37" t="s">
        <v>206</v>
      </c>
      <c r="BS66" s="37" t="s">
        <v>61</v>
      </c>
      <c r="BT66" s="37" t="s">
        <v>62</v>
      </c>
      <c r="BU66" s="37" t="s">
        <v>63</v>
      </c>
      <c r="BV66" s="39" t="s">
        <v>64</v>
      </c>
      <c r="BW66" s="37" t="s">
        <v>206</v>
      </c>
      <c r="BY66" s="37" t="s">
        <v>61</v>
      </c>
      <c r="BZ66" s="37" t="s">
        <v>62</v>
      </c>
      <c r="CA66" s="37" t="s">
        <v>63</v>
      </c>
      <c r="CB66" s="39" t="s">
        <v>64</v>
      </c>
      <c r="CC66" s="37" t="s">
        <v>206</v>
      </c>
      <c r="CE66" s="37" t="s">
        <v>61</v>
      </c>
      <c r="CF66" s="37" t="s">
        <v>62</v>
      </c>
      <c r="CG66" s="37" t="s">
        <v>63</v>
      </c>
      <c r="CH66" s="39" t="s">
        <v>64</v>
      </c>
      <c r="CI66" s="37" t="s">
        <v>206</v>
      </c>
      <c r="CK66" s="37" t="s">
        <v>61</v>
      </c>
      <c r="CL66" s="37" t="s">
        <v>62</v>
      </c>
      <c r="CM66" s="37" t="s">
        <v>63</v>
      </c>
      <c r="CN66" s="39" t="s">
        <v>64</v>
      </c>
      <c r="CO66" s="37" t="s">
        <v>206</v>
      </c>
      <c r="CQ66" s="37" t="s">
        <v>61</v>
      </c>
      <c r="CR66" s="37" t="s">
        <v>62</v>
      </c>
      <c r="CS66" s="37" t="s">
        <v>63</v>
      </c>
      <c r="CT66" s="39" t="s">
        <v>64</v>
      </c>
      <c r="CU66" s="37" t="s">
        <v>206</v>
      </c>
      <c r="CW66" s="37" t="s">
        <v>61</v>
      </c>
      <c r="CX66" s="37" t="s">
        <v>62</v>
      </c>
      <c r="CY66" s="37" t="s">
        <v>63</v>
      </c>
      <c r="CZ66" s="39" t="s">
        <v>64</v>
      </c>
      <c r="DA66" s="37" t="s">
        <v>206</v>
      </c>
      <c r="DC66" s="37" t="s">
        <v>61</v>
      </c>
      <c r="DD66" s="37" t="s">
        <v>62</v>
      </c>
      <c r="DE66" s="37" t="s">
        <v>63</v>
      </c>
      <c r="DF66" s="39" t="s">
        <v>64</v>
      </c>
      <c r="DG66" s="37" t="s">
        <v>206</v>
      </c>
      <c r="DI66" s="37" t="s">
        <v>61</v>
      </c>
      <c r="DJ66" s="37" t="s">
        <v>62</v>
      </c>
      <c r="DK66" s="37" t="s">
        <v>63</v>
      </c>
      <c r="DL66" s="39" t="s">
        <v>64</v>
      </c>
      <c r="DM66" s="37" t="s">
        <v>206</v>
      </c>
      <c r="DO66" s="37" t="s">
        <v>61</v>
      </c>
      <c r="DP66" s="37" t="s">
        <v>62</v>
      </c>
      <c r="DQ66" s="37" t="s">
        <v>63</v>
      </c>
      <c r="DR66" s="39" t="s">
        <v>64</v>
      </c>
      <c r="DS66" s="37" t="s">
        <v>206</v>
      </c>
      <c r="DU66" s="37" t="s">
        <v>61</v>
      </c>
      <c r="DV66" s="37" t="s">
        <v>62</v>
      </c>
      <c r="DW66" s="37" t="s">
        <v>63</v>
      </c>
      <c r="DX66" s="39" t="s">
        <v>64</v>
      </c>
      <c r="DY66" s="37" t="s">
        <v>206</v>
      </c>
      <c r="EA66" s="37" t="s">
        <v>61</v>
      </c>
      <c r="EB66" s="37" t="s">
        <v>62</v>
      </c>
      <c r="EC66" s="37" t="s">
        <v>63</v>
      </c>
      <c r="ED66" s="39" t="s">
        <v>64</v>
      </c>
      <c r="EE66" s="37" t="s">
        <v>206</v>
      </c>
      <c r="EG66" s="37" t="s">
        <v>61</v>
      </c>
      <c r="EH66" s="37" t="s">
        <v>62</v>
      </c>
      <c r="EI66" s="37" t="s">
        <v>63</v>
      </c>
      <c r="EJ66" s="39" t="s">
        <v>64</v>
      </c>
      <c r="EK66" s="37" t="s">
        <v>206</v>
      </c>
      <c r="EM66" s="37" t="s">
        <v>61</v>
      </c>
      <c r="EN66" s="37" t="s">
        <v>62</v>
      </c>
      <c r="EO66" s="37" t="s">
        <v>63</v>
      </c>
      <c r="EP66" s="39" t="s">
        <v>64</v>
      </c>
      <c r="EQ66" s="37" t="s">
        <v>206</v>
      </c>
      <c r="ES66" s="37" t="s">
        <v>61</v>
      </c>
      <c r="ET66" s="37" t="s">
        <v>62</v>
      </c>
      <c r="EU66" s="37" t="s">
        <v>63</v>
      </c>
      <c r="EV66" s="39" t="s">
        <v>64</v>
      </c>
      <c r="EW66" s="37" t="s">
        <v>206</v>
      </c>
      <c r="EY66" s="37" t="s">
        <v>61</v>
      </c>
      <c r="EZ66" s="37" t="s">
        <v>62</v>
      </c>
      <c r="FA66" s="37" t="s">
        <v>63</v>
      </c>
      <c r="FB66" s="39" t="s">
        <v>64</v>
      </c>
      <c r="FC66" s="37" t="s">
        <v>206</v>
      </c>
      <c r="FE66" s="37" t="s">
        <v>61</v>
      </c>
      <c r="FF66" s="37" t="s">
        <v>62</v>
      </c>
      <c r="FG66" s="37" t="s">
        <v>63</v>
      </c>
      <c r="FH66" s="39" t="s">
        <v>64</v>
      </c>
      <c r="FI66" s="37" t="s">
        <v>206</v>
      </c>
      <c r="FK66" s="37" t="s">
        <v>61</v>
      </c>
      <c r="FL66" s="37" t="s">
        <v>62</v>
      </c>
      <c r="FM66" s="37" t="s">
        <v>63</v>
      </c>
      <c r="FN66" s="39" t="s">
        <v>64</v>
      </c>
      <c r="FO66" s="37" t="s">
        <v>206</v>
      </c>
      <c r="FQ66" s="37" t="s">
        <v>61</v>
      </c>
      <c r="FR66" s="37" t="s">
        <v>62</v>
      </c>
      <c r="FS66" s="37" t="s">
        <v>63</v>
      </c>
      <c r="FT66" s="39" t="s">
        <v>64</v>
      </c>
      <c r="FU66" s="37" t="s">
        <v>206</v>
      </c>
      <c r="FW66" s="37" t="s">
        <v>61</v>
      </c>
      <c r="FX66" s="37" t="s">
        <v>62</v>
      </c>
      <c r="FY66" s="37" t="s">
        <v>63</v>
      </c>
      <c r="FZ66" s="39" t="s">
        <v>64</v>
      </c>
      <c r="GA66" s="37" t="s">
        <v>206</v>
      </c>
      <c r="GC66" s="37" t="s">
        <v>61</v>
      </c>
      <c r="GD66" s="37" t="s">
        <v>62</v>
      </c>
      <c r="GE66" s="37" t="s">
        <v>63</v>
      </c>
      <c r="GF66" s="39" t="s">
        <v>64</v>
      </c>
      <c r="GG66" s="37" t="s">
        <v>206</v>
      </c>
      <c r="GI66" s="37" t="s">
        <v>61</v>
      </c>
      <c r="GJ66" s="37" t="s">
        <v>62</v>
      </c>
      <c r="GK66" s="37" t="s">
        <v>63</v>
      </c>
      <c r="GL66" s="39" t="s">
        <v>64</v>
      </c>
      <c r="GM66" s="37" t="s">
        <v>206</v>
      </c>
      <c r="GO66" s="37" t="s">
        <v>61</v>
      </c>
      <c r="GP66" s="37" t="s">
        <v>62</v>
      </c>
      <c r="GQ66" s="37" t="s">
        <v>63</v>
      </c>
      <c r="GR66" s="39" t="s">
        <v>64</v>
      </c>
      <c r="GS66" s="37" t="s">
        <v>206</v>
      </c>
      <c r="GU66" s="37" t="s">
        <v>61</v>
      </c>
      <c r="GV66" s="37" t="s">
        <v>62</v>
      </c>
      <c r="GW66" s="37" t="s">
        <v>63</v>
      </c>
      <c r="GX66" s="39" t="s">
        <v>64</v>
      </c>
      <c r="GY66" s="37" t="s">
        <v>206</v>
      </c>
      <c r="HA66" s="37" t="s">
        <v>61</v>
      </c>
      <c r="HB66" s="37" t="s">
        <v>62</v>
      </c>
      <c r="HC66" s="37" t="s">
        <v>63</v>
      </c>
      <c r="HD66" s="39" t="s">
        <v>64</v>
      </c>
      <c r="HE66" s="37" t="s">
        <v>206</v>
      </c>
      <c r="HG66" s="37" t="s">
        <v>61</v>
      </c>
      <c r="HH66" s="37" t="s">
        <v>62</v>
      </c>
      <c r="HI66" s="37" t="s">
        <v>63</v>
      </c>
      <c r="HJ66" s="39" t="s">
        <v>64</v>
      </c>
      <c r="HK66" s="37" t="s">
        <v>206</v>
      </c>
      <c r="HM66" s="37" t="s">
        <v>61</v>
      </c>
      <c r="HN66" s="37" t="s">
        <v>62</v>
      </c>
      <c r="HO66" s="37" t="s">
        <v>63</v>
      </c>
      <c r="HP66" s="39" t="s">
        <v>64</v>
      </c>
      <c r="HQ66" s="37" t="s">
        <v>206</v>
      </c>
      <c r="HS66" s="37" t="s">
        <v>61</v>
      </c>
      <c r="HT66" s="37" t="s">
        <v>62</v>
      </c>
      <c r="HU66" s="37" t="s">
        <v>63</v>
      </c>
      <c r="HV66" s="39" t="s">
        <v>64</v>
      </c>
      <c r="HW66" s="37" t="s">
        <v>206</v>
      </c>
      <c r="HY66" s="37" t="s">
        <v>61</v>
      </c>
      <c r="HZ66" s="37" t="s">
        <v>62</v>
      </c>
      <c r="IA66" s="37" t="s">
        <v>63</v>
      </c>
      <c r="IB66" s="39" t="s">
        <v>64</v>
      </c>
      <c r="IC66" s="37" t="s">
        <v>206</v>
      </c>
      <c r="IE66" s="37" t="s">
        <v>61</v>
      </c>
      <c r="IF66" s="37" t="s">
        <v>62</v>
      </c>
      <c r="IG66" s="37" t="s">
        <v>63</v>
      </c>
      <c r="IH66" s="39" t="s">
        <v>64</v>
      </c>
      <c r="II66" s="37" t="s">
        <v>206</v>
      </c>
      <c r="IK66" s="37" t="s">
        <v>61</v>
      </c>
      <c r="IL66" s="37" t="s">
        <v>62</v>
      </c>
      <c r="IM66" s="37" t="s">
        <v>63</v>
      </c>
      <c r="IN66" s="39" t="s">
        <v>64</v>
      </c>
      <c r="IO66" s="37" t="s">
        <v>206</v>
      </c>
      <c r="IQ66" s="37" t="s">
        <v>61</v>
      </c>
      <c r="IR66" s="37" t="s">
        <v>62</v>
      </c>
      <c r="IS66" s="37" t="s">
        <v>63</v>
      </c>
      <c r="IT66" s="39" t="s">
        <v>64</v>
      </c>
      <c r="IU66" s="37" t="s">
        <v>206</v>
      </c>
      <c r="IW66" s="37" t="s">
        <v>61</v>
      </c>
      <c r="IX66" s="37" t="s">
        <v>62</v>
      </c>
      <c r="IY66" s="37" t="s">
        <v>63</v>
      </c>
      <c r="IZ66" s="39" t="s">
        <v>64</v>
      </c>
      <c r="JA66" s="37" t="s">
        <v>206</v>
      </c>
      <c r="JC66" s="37" t="s">
        <v>61</v>
      </c>
      <c r="JD66" s="37" t="s">
        <v>62</v>
      </c>
      <c r="JE66" s="37" t="s">
        <v>63</v>
      </c>
      <c r="JF66" s="39" t="s">
        <v>64</v>
      </c>
      <c r="JG66" s="37" t="s">
        <v>206</v>
      </c>
      <c r="JI66" s="37" t="s">
        <v>61</v>
      </c>
      <c r="JJ66" s="37" t="s">
        <v>62</v>
      </c>
      <c r="JK66" s="37" t="s">
        <v>63</v>
      </c>
      <c r="JL66" s="39" t="s">
        <v>64</v>
      </c>
      <c r="JM66" s="37" t="s">
        <v>206</v>
      </c>
      <c r="JO66" s="37" t="s">
        <v>61</v>
      </c>
      <c r="JP66" s="37" t="s">
        <v>62</v>
      </c>
      <c r="JQ66" s="37" t="s">
        <v>63</v>
      </c>
      <c r="JR66" s="39" t="s">
        <v>64</v>
      </c>
      <c r="JS66" s="37" t="s">
        <v>206</v>
      </c>
      <c r="JU66" s="37" t="s">
        <v>61</v>
      </c>
      <c r="JV66" s="37" t="s">
        <v>62</v>
      </c>
      <c r="JW66" s="37" t="s">
        <v>63</v>
      </c>
      <c r="JX66" s="39" t="s">
        <v>64</v>
      </c>
      <c r="JY66" s="37" t="s">
        <v>206</v>
      </c>
      <c r="KA66" s="37" t="s">
        <v>61</v>
      </c>
      <c r="KB66" s="37" t="s">
        <v>62</v>
      </c>
      <c r="KC66" s="37" t="s">
        <v>63</v>
      </c>
      <c r="KD66" s="39" t="s">
        <v>64</v>
      </c>
      <c r="KE66" s="37" t="s">
        <v>206</v>
      </c>
      <c r="KG66" s="37" t="s">
        <v>61</v>
      </c>
      <c r="KH66" s="37" t="s">
        <v>62</v>
      </c>
      <c r="KI66" s="37" t="s">
        <v>63</v>
      </c>
      <c r="KJ66" s="39" t="s">
        <v>64</v>
      </c>
      <c r="KK66" s="37" t="s">
        <v>206</v>
      </c>
      <c r="KM66" s="37" t="s">
        <v>61</v>
      </c>
      <c r="KN66" s="37" t="s">
        <v>62</v>
      </c>
      <c r="KO66" s="37" t="s">
        <v>63</v>
      </c>
      <c r="KP66" s="39" t="s">
        <v>64</v>
      </c>
      <c r="KQ66" s="37" t="s">
        <v>206</v>
      </c>
      <c r="KS66" s="37" t="s">
        <v>61</v>
      </c>
      <c r="KT66" s="37" t="s">
        <v>62</v>
      </c>
      <c r="KU66" s="37" t="s">
        <v>63</v>
      </c>
      <c r="KV66" s="39" t="s">
        <v>64</v>
      </c>
      <c r="KW66" s="37" t="s">
        <v>206</v>
      </c>
      <c r="KY66" s="37" t="s">
        <v>61</v>
      </c>
      <c r="KZ66" s="37" t="s">
        <v>62</v>
      </c>
      <c r="LA66" s="37" t="s">
        <v>63</v>
      </c>
      <c r="LB66" s="39" t="s">
        <v>64</v>
      </c>
      <c r="LC66" s="37" t="s">
        <v>206</v>
      </c>
      <c r="LE66" s="37" t="s">
        <v>61</v>
      </c>
      <c r="LF66" s="37" t="s">
        <v>62</v>
      </c>
      <c r="LG66" s="37" t="s">
        <v>63</v>
      </c>
      <c r="LH66" s="39" t="s">
        <v>64</v>
      </c>
      <c r="LI66" s="37" t="s">
        <v>206</v>
      </c>
      <c r="LK66" s="37" t="s">
        <v>61</v>
      </c>
      <c r="LL66" s="37" t="s">
        <v>62</v>
      </c>
      <c r="LM66" s="37" t="s">
        <v>63</v>
      </c>
      <c r="LN66" s="39" t="s">
        <v>64</v>
      </c>
      <c r="LO66" s="37" t="s">
        <v>206</v>
      </c>
      <c r="LQ66" s="37" t="s">
        <v>61</v>
      </c>
      <c r="LR66" s="37" t="s">
        <v>62</v>
      </c>
      <c r="LS66" s="37" t="s">
        <v>63</v>
      </c>
      <c r="LT66" s="39" t="s">
        <v>64</v>
      </c>
      <c r="LU66" s="37" t="s">
        <v>206</v>
      </c>
      <c r="LW66" s="37" t="s">
        <v>61</v>
      </c>
      <c r="LX66" s="37" t="s">
        <v>62</v>
      </c>
      <c r="LY66" s="37" t="s">
        <v>63</v>
      </c>
      <c r="LZ66" s="39" t="s">
        <v>64</v>
      </c>
      <c r="MA66" s="37" t="s">
        <v>206</v>
      </c>
      <c r="MC66" s="37" t="s">
        <v>61</v>
      </c>
      <c r="MD66" s="37" t="s">
        <v>62</v>
      </c>
      <c r="ME66" s="37" t="s">
        <v>63</v>
      </c>
      <c r="MF66" s="39" t="s">
        <v>64</v>
      </c>
      <c r="MG66" s="37" t="s">
        <v>206</v>
      </c>
      <c r="MI66" s="37" t="s">
        <v>61</v>
      </c>
      <c r="MJ66" s="37" t="s">
        <v>62</v>
      </c>
      <c r="MK66" s="37" t="s">
        <v>63</v>
      </c>
      <c r="ML66" s="39" t="s">
        <v>64</v>
      </c>
      <c r="MM66" s="37" t="s">
        <v>206</v>
      </c>
      <c r="MO66" s="37" t="s">
        <v>61</v>
      </c>
      <c r="MP66" s="37" t="s">
        <v>62</v>
      </c>
      <c r="MQ66" s="37" t="s">
        <v>63</v>
      </c>
      <c r="MR66" s="39" t="s">
        <v>64</v>
      </c>
      <c r="MS66" s="37" t="s">
        <v>206</v>
      </c>
      <c r="MU66" s="37" t="s">
        <v>61</v>
      </c>
      <c r="MV66" s="37" t="s">
        <v>62</v>
      </c>
      <c r="MW66" s="37" t="s">
        <v>63</v>
      </c>
      <c r="MX66" s="39" t="s">
        <v>64</v>
      </c>
      <c r="MY66" s="37" t="s">
        <v>206</v>
      </c>
      <c r="NA66" s="37" t="s">
        <v>61</v>
      </c>
      <c r="NB66" s="37" t="s">
        <v>62</v>
      </c>
      <c r="NC66" s="37" t="s">
        <v>63</v>
      </c>
      <c r="ND66" s="39" t="s">
        <v>64</v>
      </c>
      <c r="NE66" s="37" t="s">
        <v>206</v>
      </c>
      <c r="NG66" s="37" t="s">
        <v>61</v>
      </c>
      <c r="NH66" s="37" t="s">
        <v>62</v>
      </c>
      <c r="NI66" s="37" t="s">
        <v>63</v>
      </c>
      <c r="NJ66" s="39" t="s">
        <v>64</v>
      </c>
    </row>
    <row r="67" spans="1:374" s="114" customFormat="1" x14ac:dyDescent="0.45">
      <c r="A67" s="273" t="s">
        <v>444</v>
      </c>
      <c r="B67" s="114" t="s">
        <v>376</v>
      </c>
      <c r="C67" s="30"/>
      <c r="D67" s="30"/>
      <c r="E67" s="159" t="str">
        <f t="shared" ref="E67:G67" si="6">E54</f>
        <v>평타</v>
      </c>
      <c r="F67" s="30" t="str">
        <f t="shared" si="6"/>
        <v>유탄부착</v>
      </c>
      <c r="G67" s="30" t="str">
        <f t="shared" si="6"/>
        <v>유탄폭발</v>
      </c>
      <c r="H67" s="36"/>
      <c r="I67" s="30"/>
      <c r="J67" s="30"/>
      <c r="K67" s="159" t="s">
        <v>159</v>
      </c>
      <c r="L67" s="30" t="s">
        <v>379</v>
      </c>
      <c r="M67" s="30" t="s">
        <v>380</v>
      </c>
      <c r="N67" s="36" t="s">
        <v>381</v>
      </c>
      <c r="O67" s="30"/>
      <c r="P67" s="30"/>
      <c r="Q67" s="159" t="s">
        <v>159</v>
      </c>
      <c r="R67" s="30" t="s">
        <v>379</v>
      </c>
      <c r="S67" s="30" t="s">
        <v>380</v>
      </c>
      <c r="T67" s="36" t="s">
        <v>381</v>
      </c>
      <c r="U67" s="30"/>
      <c r="V67" s="30"/>
      <c r="W67" s="159" t="s">
        <v>159</v>
      </c>
      <c r="X67" s="30" t="s">
        <v>383</v>
      </c>
      <c r="Y67" s="30"/>
      <c r="Z67" s="36"/>
      <c r="AA67" s="30" t="s">
        <v>445</v>
      </c>
      <c r="AB67" s="30"/>
      <c r="AC67" s="159" t="str">
        <f>AC54</f>
        <v>평타</v>
      </c>
      <c r="AD67" s="30" t="str">
        <f t="shared" ref="AD67:AE67" si="7">AD54</f>
        <v>사슬감기</v>
      </c>
      <c r="AE67" s="30" t="str">
        <f t="shared" si="7"/>
        <v>사슬당기기</v>
      </c>
      <c r="AF67" s="36">
        <f>AF54</f>
        <v>0</v>
      </c>
      <c r="AG67" s="30" t="s">
        <v>445</v>
      </c>
      <c r="AH67" s="30"/>
      <c r="AI67" s="159" t="str">
        <f>AI54</f>
        <v>평타</v>
      </c>
      <c r="AJ67" s="30" t="str">
        <f t="shared" ref="AJ67:AK67" si="8">AJ54</f>
        <v>사슬감기</v>
      </c>
      <c r="AK67" s="30" t="str">
        <f t="shared" si="8"/>
        <v>사슬당기기</v>
      </c>
      <c r="AL67" s="36">
        <f>AL54</f>
        <v>0</v>
      </c>
      <c r="AM67" s="30" t="s">
        <v>445</v>
      </c>
      <c r="AN67" s="30"/>
      <c r="AO67" s="159" t="str">
        <f>AO54</f>
        <v>평타</v>
      </c>
      <c r="AP67" s="30" t="str">
        <f t="shared" ref="AP67:AQ67" si="9">AP54</f>
        <v>사슬감기</v>
      </c>
      <c r="AQ67" s="30" t="str">
        <f t="shared" si="9"/>
        <v>사슬당기기</v>
      </c>
      <c r="AR67" s="36">
        <f>AR54</f>
        <v>0</v>
      </c>
      <c r="AS67" s="30"/>
      <c r="AT67" s="30"/>
      <c r="AU67" s="159" t="s">
        <v>386</v>
      </c>
      <c r="AV67" s="30" t="s">
        <v>387</v>
      </c>
      <c r="AW67" s="30"/>
      <c r="AX67" s="36"/>
      <c r="AY67" s="30"/>
      <c r="AZ67" s="30"/>
      <c r="BA67" s="159" t="s">
        <v>386</v>
      </c>
      <c r="BB67" s="30" t="s">
        <v>387</v>
      </c>
      <c r="BC67" s="30"/>
      <c r="BD67" s="36"/>
      <c r="BE67" s="30"/>
      <c r="BF67" s="30"/>
      <c r="BG67" s="159" t="s">
        <v>159</v>
      </c>
      <c r="BH67" s="30" t="s">
        <v>383</v>
      </c>
      <c r="BI67" s="30"/>
      <c r="BJ67" s="36"/>
      <c r="BK67" s="30"/>
      <c r="BL67" s="30"/>
      <c r="BM67" s="159" t="s">
        <v>159</v>
      </c>
      <c r="BN67" s="30"/>
      <c r="BO67" s="30"/>
      <c r="BP67" s="36"/>
      <c r="BQ67" s="30"/>
      <c r="BR67" s="30"/>
      <c r="BS67" s="159" t="s">
        <v>159</v>
      </c>
      <c r="BT67" s="30"/>
      <c r="BU67" s="30"/>
      <c r="BV67" s="36"/>
      <c r="BW67" s="30"/>
      <c r="BX67" s="30"/>
      <c r="BY67" s="159" t="s">
        <v>391</v>
      </c>
      <c r="BZ67" s="30" t="s">
        <v>392</v>
      </c>
      <c r="CA67" s="30"/>
      <c r="CB67" s="36"/>
      <c r="CC67" s="30"/>
      <c r="CD67" s="30"/>
      <c r="CE67" s="159" t="s">
        <v>391</v>
      </c>
      <c r="CF67" s="30" t="s">
        <v>393</v>
      </c>
      <c r="CG67" s="30" t="s">
        <v>392</v>
      </c>
      <c r="CH67" s="36"/>
      <c r="CI67" s="30"/>
      <c r="CJ67" s="30"/>
      <c r="CK67" s="159" t="s">
        <v>391</v>
      </c>
      <c r="CL67" s="30" t="s">
        <v>394</v>
      </c>
      <c r="CM67" s="30" t="s">
        <v>395</v>
      </c>
      <c r="CN67" s="36"/>
      <c r="CO67" s="30"/>
      <c r="CP67" s="30"/>
      <c r="CQ67" s="159" t="s">
        <v>391</v>
      </c>
      <c r="CR67" s="30" t="s">
        <v>396</v>
      </c>
      <c r="CS67" s="30"/>
      <c r="CT67" s="36"/>
      <c r="CU67" s="30"/>
      <c r="CV67" s="30"/>
      <c r="CW67" s="159" t="s">
        <v>391</v>
      </c>
      <c r="CX67" s="30" t="s">
        <v>396</v>
      </c>
      <c r="CY67" s="30"/>
      <c r="CZ67" s="36"/>
      <c r="DA67" s="30" t="s">
        <v>397</v>
      </c>
      <c r="DB67" s="30"/>
      <c r="DC67" s="159" t="s">
        <v>391</v>
      </c>
      <c r="DD67" s="30" t="s">
        <v>397</v>
      </c>
      <c r="DE67" s="30"/>
      <c r="DF67" s="36"/>
      <c r="DG67" s="30" t="s">
        <v>397</v>
      </c>
      <c r="DH67" s="30"/>
      <c r="DI67" s="159" t="s">
        <v>391</v>
      </c>
      <c r="DJ67" s="30" t="s">
        <v>397</v>
      </c>
      <c r="DK67" s="30"/>
      <c r="DL67" s="36"/>
      <c r="DM67" s="30"/>
      <c r="DN67" s="30"/>
      <c r="DO67" s="159" t="s">
        <v>391</v>
      </c>
      <c r="DP67" s="30"/>
      <c r="DQ67" s="30"/>
      <c r="DR67" s="36"/>
      <c r="DS67" s="30"/>
      <c r="DT67" s="30"/>
      <c r="DU67" s="159" t="s">
        <v>159</v>
      </c>
      <c r="DV67" s="30" t="s">
        <v>398</v>
      </c>
      <c r="DW67" s="30"/>
      <c r="DX67" s="36"/>
      <c r="DY67" s="30"/>
      <c r="DZ67" s="30"/>
      <c r="EA67" s="159" t="s">
        <v>159</v>
      </c>
      <c r="EB67" s="30" t="s">
        <v>383</v>
      </c>
      <c r="EC67" s="30"/>
      <c r="ED67" s="36"/>
      <c r="EE67" s="30"/>
      <c r="EF67" s="30"/>
      <c r="EG67" s="159" t="s">
        <v>159</v>
      </c>
      <c r="EH67" s="30" t="s">
        <v>383</v>
      </c>
      <c r="EI67" s="30"/>
      <c r="EJ67" s="36"/>
      <c r="EK67" s="30"/>
      <c r="EL67" s="30"/>
      <c r="EM67" s="159" t="s">
        <v>159</v>
      </c>
      <c r="EN67" s="30"/>
      <c r="EO67" s="30"/>
      <c r="EP67" s="36"/>
      <c r="EQ67" s="30"/>
      <c r="ER67" s="30"/>
      <c r="ES67" s="159" t="s">
        <v>159</v>
      </c>
      <c r="ET67" s="30" t="s">
        <v>401</v>
      </c>
      <c r="EU67" s="30"/>
      <c r="EV67" s="36"/>
      <c r="EW67" s="30"/>
      <c r="EX67" s="30"/>
      <c r="EY67" s="159" t="s">
        <v>159</v>
      </c>
      <c r="EZ67" s="30" t="s">
        <v>401</v>
      </c>
      <c r="FA67" s="30"/>
      <c r="FB67" s="36"/>
      <c r="FC67" s="30"/>
      <c r="FD67" s="30"/>
      <c r="FE67" s="159" t="s">
        <v>391</v>
      </c>
      <c r="FF67" s="30"/>
      <c r="FG67" s="30"/>
      <c r="FH67" s="36"/>
      <c r="FI67" s="30"/>
      <c r="FJ67" s="30"/>
      <c r="FK67" s="159" t="s">
        <v>159</v>
      </c>
      <c r="FL67" s="30" t="s">
        <v>402</v>
      </c>
      <c r="FM67" s="30" t="s">
        <v>403</v>
      </c>
      <c r="FN67" s="36"/>
      <c r="FO67" s="30"/>
      <c r="FP67" s="30"/>
      <c r="FQ67" s="159" t="s">
        <v>159</v>
      </c>
      <c r="FR67" s="30" t="s">
        <v>383</v>
      </c>
      <c r="FS67" s="30"/>
      <c r="FT67" s="36"/>
      <c r="FU67" s="30"/>
      <c r="FV67" s="30"/>
      <c r="FW67" s="159" t="s">
        <v>159</v>
      </c>
      <c r="FX67" s="30" t="s">
        <v>383</v>
      </c>
      <c r="FY67" s="30"/>
      <c r="FZ67" s="36"/>
      <c r="GA67" s="30"/>
      <c r="GB67" s="30"/>
      <c r="GC67" s="159" t="s">
        <v>159</v>
      </c>
      <c r="GD67" s="30" t="s">
        <v>405</v>
      </c>
      <c r="GE67" s="30"/>
      <c r="GF67" s="36"/>
      <c r="GG67" s="30"/>
      <c r="GH67" s="30"/>
      <c r="GI67" s="159" t="s">
        <v>159</v>
      </c>
      <c r="GJ67" s="30" t="s">
        <v>406</v>
      </c>
      <c r="GK67" s="30"/>
      <c r="GL67" s="36"/>
      <c r="GM67" s="30"/>
      <c r="GN67" s="30"/>
      <c r="GO67" s="159" t="s">
        <v>159</v>
      </c>
      <c r="GP67" s="30" t="s">
        <v>406</v>
      </c>
      <c r="GQ67" s="30"/>
      <c r="GR67" s="36"/>
      <c r="GS67" s="30"/>
      <c r="GT67" s="30"/>
      <c r="GU67" s="159" t="s">
        <v>159</v>
      </c>
      <c r="GV67" s="30" t="s">
        <v>407</v>
      </c>
      <c r="GW67" s="30" t="s">
        <v>306</v>
      </c>
      <c r="GX67" s="36"/>
      <c r="GY67" s="30"/>
      <c r="GZ67" s="30"/>
      <c r="HA67" s="159" t="s">
        <v>159</v>
      </c>
      <c r="HB67" s="30" t="s">
        <v>409</v>
      </c>
      <c r="HC67" s="30"/>
      <c r="HD67" s="36"/>
      <c r="HE67" s="30" t="s">
        <v>446</v>
      </c>
      <c r="HF67" s="30"/>
      <c r="HG67" s="159" t="s">
        <v>159</v>
      </c>
      <c r="HI67" s="30"/>
      <c r="HJ67" s="36"/>
      <c r="HK67" s="30"/>
      <c r="HL67" s="30"/>
      <c r="HM67" s="159" t="s">
        <v>159</v>
      </c>
      <c r="HN67" s="30" t="s">
        <v>411</v>
      </c>
      <c r="HO67" s="30"/>
      <c r="HP67" s="36"/>
      <c r="HQ67" s="30"/>
      <c r="HR67" s="30"/>
      <c r="HS67" s="159" t="s">
        <v>159</v>
      </c>
      <c r="HT67" s="30" t="s">
        <v>412</v>
      </c>
      <c r="HU67" s="30" t="s">
        <v>413</v>
      </c>
      <c r="HV67" s="36"/>
      <c r="HW67" s="30"/>
      <c r="HX67" s="30"/>
      <c r="HY67" s="159" t="s">
        <v>159</v>
      </c>
      <c r="HZ67" s="30" t="s">
        <v>415</v>
      </c>
      <c r="IA67" s="30"/>
      <c r="IB67" s="36"/>
      <c r="IC67" s="30"/>
      <c r="ID67" s="30"/>
      <c r="IE67" s="159" t="s">
        <v>159</v>
      </c>
      <c r="IF67" s="30" t="s">
        <v>415</v>
      </c>
      <c r="IG67" s="30"/>
      <c r="IH67" s="36"/>
      <c r="II67" s="30"/>
      <c r="IJ67" s="30"/>
      <c r="IK67" s="159" t="s">
        <v>159</v>
      </c>
      <c r="IL67" s="30"/>
      <c r="IM67" s="30"/>
      <c r="IN67" s="36"/>
      <c r="IO67" s="30"/>
      <c r="IP67" s="30"/>
      <c r="IQ67" s="159" t="s">
        <v>159</v>
      </c>
      <c r="IR67" s="30"/>
      <c r="IS67" s="30"/>
      <c r="IT67" s="36"/>
      <c r="IU67" s="30"/>
      <c r="IV67" s="30"/>
      <c r="IW67" s="159" t="s">
        <v>159</v>
      </c>
      <c r="IX67" s="30"/>
      <c r="IY67" s="30"/>
      <c r="IZ67" s="36"/>
      <c r="JA67" s="30"/>
      <c r="JB67" s="30"/>
      <c r="JC67" s="159" t="s">
        <v>159</v>
      </c>
      <c r="JD67" s="30" t="s">
        <v>306</v>
      </c>
      <c r="JE67" s="30"/>
      <c r="JF67" s="36"/>
      <c r="JG67" s="30"/>
      <c r="JH67" s="30"/>
      <c r="JI67" s="159" t="s">
        <v>159</v>
      </c>
      <c r="JJ67" s="30" t="s">
        <v>306</v>
      </c>
      <c r="JK67" s="30"/>
      <c r="JL67" s="36"/>
      <c r="JM67" s="30"/>
      <c r="JN67" s="30"/>
      <c r="JO67" s="159" t="s">
        <v>159</v>
      </c>
      <c r="JP67" s="30" t="s">
        <v>416</v>
      </c>
      <c r="JQ67" s="30" t="s">
        <v>417</v>
      </c>
      <c r="JR67" s="36"/>
      <c r="JS67" s="30"/>
      <c r="JT67" s="30"/>
      <c r="JU67" s="159" t="s">
        <v>159</v>
      </c>
      <c r="JV67" s="30" t="s">
        <v>418</v>
      </c>
      <c r="JW67" s="30" t="s">
        <v>419</v>
      </c>
      <c r="JX67" s="36"/>
      <c r="JY67" s="30"/>
      <c r="JZ67" s="30"/>
      <c r="KA67" s="159" t="s">
        <v>159</v>
      </c>
      <c r="KB67" s="30" t="s">
        <v>418</v>
      </c>
      <c r="KC67" s="30" t="s">
        <v>419</v>
      </c>
      <c r="KD67" s="36"/>
      <c r="KE67" s="30"/>
      <c r="KF67" s="30"/>
      <c r="KG67" s="159" t="s">
        <v>159</v>
      </c>
      <c r="KH67" s="30" t="s">
        <v>262</v>
      </c>
      <c r="KI67" s="30"/>
      <c r="KJ67" s="36"/>
      <c r="KK67" s="30"/>
      <c r="KL67" s="30"/>
      <c r="KM67" s="159" t="s">
        <v>159</v>
      </c>
      <c r="KN67" s="30"/>
      <c r="KO67" s="30"/>
      <c r="KP67" s="36"/>
      <c r="KQ67" s="30"/>
      <c r="KR67" s="30"/>
      <c r="KS67" s="159" t="s">
        <v>159</v>
      </c>
      <c r="KT67" s="30" t="s">
        <v>420</v>
      </c>
      <c r="KU67" s="30"/>
      <c r="KV67" s="36"/>
      <c r="KW67" s="30"/>
      <c r="KX67" s="30"/>
      <c r="KY67" s="159" t="s">
        <v>159</v>
      </c>
      <c r="KZ67" s="30" t="s">
        <v>377</v>
      </c>
      <c r="LA67" s="30" t="s">
        <v>378</v>
      </c>
      <c r="LB67" s="36"/>
      <c r="LC67" s="159"/>
      <c r="LD67" s="30"/>
      <c r="LE67" s="159" t="s">
        <v>159</v>
      </c>
      <c r="LF67" s="30" t="s">
        <v>421</v>
      </c>
      <c r="LG67" s="30" t="s">
        <v>422</v>
      </c>
      <c r="LH67" s="36" t="s">
        <v>423</v>
      </c>
      <c r="LI67" s="159"/>
      <c r="LJ67" s="30"/>
      <c r="LK67" s="159" t="s">
        <v>159</v>
      </c>
      <c r="LL67" s="30"/>
      <c r="LM67" s="30"/>
      <c r="LN67" s="36"/>
      <c r="LO67" s="30"/>
      <c r="LP67" s="30"/>
      <c r="LQ67" s="159" t="s">
        <v>159</v>
      </c>
      <c r="LR67" s="30" t="s">
        <v>383</v>
      </c>
      <c r="LS67" s="30"/>
      <c r="LT67" s="36"/>
      <c r="LU67" s="30"/>
      <c r="LV67" s="30"/>
      <c r="LW67" s="159" t="s">
        <v>159</v>
      </c>
      <c r="LX67" s="30" t="s">
        <v>424</v>
      </c>
      <c r="LY67" s="30"/>
      <c r="LZ67" s="36"/>
      <c r="MA67" s="30"/>
      <c r="MB67" s="30"/>
      <c r="MC67" s="159" t="s">
        <v>159</v>
      </c>
      <c r="MD67" s="30" t="s">
        <v>424</v>
      </c>
      <c r="ME67" s="30"/>
      <c r="MF67" s="36"/>
      <c r="MG67" s="30"/>
      <c r="MH67" s="30"/>
      <c r="MI67" s="159" t="s">
        <v>391</v>
      </c>
      <c r="MJ67" s="30"/>
      <c r="MK67" s="30"/>
      <c r="ML67" s="36"/>
      <c r="MM67" s="30"/>
      <c r="MN67" s="30"/>
      <c r="MO67" s="159" t="s">
        <v>159</v>
      </c>
      <c r="MP67" s="30" t="s">
        <v>306</v>
      </c>
      <c r="MQ67" s="30"/>
      <c r="MR67" s="36"/>
      <c r="MS67" s="30"/>
      <c r="MT67" s="30"/>
      <c r="MU67" s="159" t="s">
        <v>159</v>
      </c>
      <c r="MV67" s="30"/>
      <c r="MW67" s="30" t="s">
        <v>422</v>
      </c>
      <c r="MX67" s="36" t="s">
        <v>494</v>
      </c>
      <c r="MY67" s="30"/>
      <c r="MZ67" s="30"/>
      <c r="NA67" s="159"/>
      <c r="NB67" s="30"/>
      <c r="NC67" s="30"/>
      <c r="ND67" s="36"/>
      <c r="NE67" s="30"/>
      <c r="NF67" s="30"/>
      <c r="NG67" s="159"/>
      <c r="NH67" s="30"/>
      <c r="NI67" s="30"/>
      <c r="NJ67" s="36"/>
    </row>
    <row r="68" spans="1:374" x14ac:dyDescent="0.45">
      <c r="A68" s="274"/>
      <c r="B68" s="8" t="s">
        <v>235</v>
      </c>
      <c r="C68" s="28"/>
      <c r="D68" s="28"/>
      <c r="E68" s="160">
        <v>5.57E-2</v>
      </c>
      <c r="F68" s="28">
        <v>0.88109999999999999</v>
      </c>
      <c r="G68" s="28">
        <v>0.88109999999999999</v>
      </c>
      <c r="H68" s="29"/>
      <c r="I68" s="28"/>
      <c r="J68" s="28"/>
      <c r="K68" s="160">
        <v>0.57289999999999996</v>
      </c>
      <c r="L68" s="28">
        <v>2.5047000000000001</v>
      </c>
      <c r="M68" s="28">
        <v>5</v>
      </c>
      <c r="N68" s="29">
        <v>7.5046999999999997</v>
      </c>
      <c r="O68" s="28"/>
      <c r="P68" s="28"/>
      <c r="Q68" s="160">
        <v>0.57289999999999996</v>
      </c>
      <c r="R68" s="28">
        <v>2.5047000000000001</v>
      </c>
      <c r="S68" s="28">
        <v>5</v>
      </c>
      <c r="T68" s="29">
        <v>7.5046999999999997</v>
      </c>
      <c r="U68" s="28"/>
      <c r="V68" s="28"/>
      <c r="W68" s="160">
        <v>0.3211</v>
      </c>
      <c r="X68" s="28">
        <v>1.3660000000000001</v>
      </c>
      <c r="Y68" s="28"/>
      <c r="Z68" s="29"/>
      <c r="AA68" s="28">
        <v>0.50060000000000004</v>
      </c>
      <c r="AB68" s="28"/>
      <c r="AC68" s="160">
        <v>5.57E-2</v>
      </c>
      <c r="AD68" s="28">
        <f>25.08%*17</f>
        <v>4.2635999999999994</v>
      </c>
      <c r="AE68" s="28"/>
      <c r="AF68" s="29"/>
      <c r="AG68" s="28">
        <v>0.50060000000000004</v>
      </c>
      <c r="AH68" s="28"/>
      <c r="AI68" s="160">
        <v>5.57E-2</v>
      </c>
      <c r="AJ68" s="28">
        <f>25.08%*17</f>
        <v>4.2635999999999994</v>
      </c>
      <c r="AK68" s="28"/>
      <c r="AL68" s="29"/>
      <c r="AM68" s="28">
        <v>0.50060000000000004</v>
      </c>
      <c r="AN68" s="28"/>
      <c r="AO68" s="160">
        <v>5.57E-2</v>
      </c>
      <c r="AP68" s="28">
        <f>25.08%*20</f>
        <v>5.0159999999999991</v>
      </c>
      <c r="AQ68" s="28"/>
      <c r="AR68" s="29"/>
      <c r="AS68" s="28"/>
      <c r="AT68" s="28"/>
      <c r="AU68" s="160">
        <v>2.0150000000000001</v>
      </c>
      <c r="AV68" s="28">
        <v>2.0150000000000001</v>
      </c>
      <c r="AW68" s="28"/>
      <c r="AX68" s="29"/>
      <c r="AY68" s="28"/>
      <c r="AZ68" s="28"/>
      <c r="BA68" s="160">
        <v>2.0150000000000001</v>
      </c>
      <c r="BB68" s="28">
        <v>2.0150000000000001</v>
      </c>
      <c r="BC68" s="28"/>
      <c r="BD68" s="29"/>
      <c r="BE68" s="28"/>
      <c r="BF68" s="28"/>
      <c r="BG68" s="160">
        <v>0.69040000000000001</v>
      </c>
      <c r="BH68" s="28">
        <v>1.7898000000000001</v>
      </c>
      <c r="BI68" s="28"/>
      <c r="BJ68" s="29"/>
      <c r="BK68" s="28"/>
      <c r="BL68" s="28"/>
      <c r="BM68" s="160">
        <v>0.69040000000000001</v>
      </c>
      <c r="BN68" s="28"/>
      <c r="BO68" s="28"/>
      <c r="BP68" s="29"/>
      <c r="BQ68" s="28"/>
      <c r="BR68" s="28"/>
      <c r="BS68" s="160">
        <v>0.69040000000000001</v>
      </c>
      <c r="BT68" s="28"/>
      <c r="BU68" s="28"/>
      <c r="BV68" s="29"/>
      <c r="BW68" s="28"/>
      <c r="BX68" s="28"/>
      <c r="BY68" s="160">
        <v>2.1070000000000002</v>
      </c>
      <c r="BZ68" s="28">
        <v>1.7058</v>
      </c>
      <c r="CA68" s="28"/>
      <c r="CB68" s="29"/>
      <c r="CC68" s="28"/>
      <c r="CD68" s="28"/>
      <c r="CE68" s="160">
        <v>5.8599999999999999E-2</v>
      </c>
      <c r="CF68" s="28">
        <v>1.5843</v>
      </c>
      <c r="CG68" s="28">
        <v>1.0964</v>
      </c>
      <c r="CH68" s="29"/>
      <c r="CI68" s="28"/>
      <c r="CJ68" s="28"/>
      <c r="CK68" s="160">
        <v>2.0430000000000001</v>
      </c>
      <c r="CL68" s="28">
        <v>0.98550000000000004</v>
      </c>
      <c r="CM68" s="28">
        <v>2.0150000000000001</v>
      </c>
      <c r="CN68" s="29"/>
      <c r="CO68" s="28"/>
      <c r="CP68" s="28"/>
      <c r="CQ68" s="160">
        <v>2.5920000000000001</v>
      </c>
      <c r="CR68" s="28">
        <v>3.8241999999999998</v>
      </c>
      <c r="CS68" s="28"/>
      <c r="CT68" s="29"/>
      <c r="CU68" s="28"/>
      <c r="CV68" s="28"/>
      <c r="CW68" s="160">
        <v>2.5920000000000001</v>
      </c>
      <c r="CX68" s="28">
        <v>3.8241999999999998</v>
      </c>
      <c r="CY68" s="28"/>
      <c r="CZ68" s="29"/>
      <c r="DA68" s="28">
        <v>0.90810000000000002</v>
      </c>
      <c r="DB68" s="28"/>
      <c r="DC68" s="160">
        <v>0.69040000000000001</v>
      </c>
      <c r="DD68" s="28">
        <v>0.90810000000000002</v>
      </c>
      <c r="DE68" s="28"/>
      <c r="DF68" s="29"/>
      <c r="DG68" s="28">
        <v>0.90810000000000002</v>
      </c>
      <c r="DH68" s="28"/>
      <c r="DI68" s="160">
        <v>0.69040000000000001</v>
      </c>
      <c r="DJ68" s="28">
        <v>0.90810000000000002</v>
      </c>
      <c r="DK68" s="28"/>
      <c r="DL68" s="29"/>
      <c r="DM68" s="28"/>
      <c r="DN68" s="28"/>
      <c r="DO68" s="160">
        <v>0.27079999999999999</v>
      </c>
      <c r="DP68" s="28"/>
      <c r="DQ68" s="28"/>
      <c r="DR68" s="29"/>
      <c r="DS68" s="28"/>
      <c r="DT68" s="28"/>
      <c r="DU68" s="160">
        <v>7.7100000000000002E-2</v>
      </c>
      <c r="DV68" s="28">
        <v>3.0499999999999999E-2</v>
      </c>
      <c r="DW68" s="28"/>
      <c r="DX68" s="29"/>
      <c r="DY68" s="28"/>
      <c r="DZ68" s="28"/>
      <c r="EA68" s="160">
        <v>0.61299999999999999</v>
      </c>
      <c r="EB68" s="28">
        <v>5.4762000000000004</v>
      </c>
      <c r="EC68" s="28"/>
      <c r="ED68" s="29"/>
      <c r="EE68" s="28"/>
      <c r="EF68" s="28"/>
      <c r="EG68" s="160">
        <v>0.61299999999999999</v>
      </c>
      <c r="EH68" s="28">
        <v>5.4762000000000004</v>
      </c>
      <c r="EI68" s="28"/>
      <c r="EJ68" s="29"/>
      <c r="EK68" s="28"/>
      <c r="EL68" s="28"/>
      <c r="EM68" s="160">
        <v>0.69040000000000001</v>
      </c>
      <c r="EN68" s="28"/>
      <c r="EO68" s="28"/>
      <c r="EP68" s="29"/>
      <c r="EQ68" s="28"/>
      <c r="ER68" s="28"/>
      <c r="ES68" s="160">
        <v>1.821</v>
      </c>
      <c r="ET68" s="28">
        <v>2.0284</v>
      </c>
      <c r="EU68" s="28"/>
      <c r="EV68" s="29"/>
      <c r="EW68" s="28"/>
      <c r="EX68" s="28"/>
      <c r="EY68" s="160">
        <v>1.821</v>
      </c>
      <c r="EZ68" s="28">
        <v>2.0284</v>
      </c>
      <c r="FA68" s="28"/>
      <c r="FB68" s="29"/>
      <c r="FC68" s="28"/>
      <c r="FD68" s="28"/>
      <c r="FE68" s="160">
        <v>0.1507</v>
      </c>
      <c r="FF68" s="28"/>
      <c r="FG68" s="28"/>
      <c r="FH68" s="29"/>
      <c r="FI68" s="28"/>
      <c r="FJ68" s="28"/>
      <c r="FK68" s="160">
        <v>0.14069999999999999</v>
      </c>
      <c r="FL68" s="28">
        <v>0.88</v>
      </c>
      <c r="FM68" s="28">
        <v>1</v>
      </c>
      <c r="FN68" s="29"/>
      <c r="FO68" s="28"/>
      <c r="FP68" s="28"/>
      <c r="FQ68" s="160">
        <v>0.63109999999999999</v>
      </c>
      <c r="FR68" s="28">
        <v>1.3245</v>
      </c>
      <c r="FS68" s="28"/>
      <c r="FT68" s="29"/>
      <c r="FU68" s="28"/>
      <c r="FV68" s="28"/>
      <c r="FW68" s="160">
        <v>0.63109999999999999</v>
      </c>
      <c r="FX68" s="28">
        <f>132.45%+14.78%</f>
        <v>1.4722999999999997</v>
      </c>
      <c r="FY68" s="28"/>
      <c r="FZ68" s="29"/>
      <c r="GA68" s="28"/>
      <c r="GB68" s="28"/>
      <c r="GC68" s="160">
        <v>0.13650000000000001</v>
      </c>
      <c r="GD68" s="28">
        <v>2.4</v>
      </c>
      <c r="GE68" s="28"/>
      <c r="GF68" s="29"/>
      <c r="GG68" s="28"/>
      <c r="GH68" s="28"/>
      <c r="GI68" s="160">
        <v>0.61299999999999999</v>
      </c>
      <c r="GJ68" s="28">
        <f>68.46%*10</f>
        <v>6.8460000000000001</v>
      </c>
      <c r="GK68" s="28"/>
      <c r="GL68" s="29"/>
      <c r="GM68" s="28"/>
      <c r="GN68" s="28"/>
      <c r="GO68" s="160">
        <v>0.61299999999999999</v>
      </c>
      <c r="GP68" s="28">
        <f>68.46%*10</f>
        <v>6.8460000000000001</v>
      </c>
      <c r="GQ68" s="28"/>
      <c r="GR68" s="29"/>
      <c r="GS68" s="28"/>
      <c r="GT68" s="28"/>
      <c r="GU68" s="160">
        <v>0.14710000000000001</v>
      </c>
      <c r="GV68" s="28">
        <v>0.82799999999999996</v>
      </c>
      <c r="GW68" s="28">
        <v>1.4473</v>
      </c>
      <c r="GX68" s="29"/>
      <c r="GY68" s="28"/>
      <c r="GZ68" s="28"/>
      <c r="HA68" s="160">
        <v>0.69040000000000001</v>
      </c>
      <c r="HB68" s="28">
        <v>8.1341999999999999</v>
      </c>
      <c r="HC68" s="28"/>
      <c r="HD68" s="29"/>
      <c r="HE68" s="28">
        <v>2.9</v>
      </c>
      <c r="HF68" s="28"/>
      <c r="HG68" s="160">
        <v>0.69040000000000001</v>
      </c>
      <c r="HI68" s="28"/>
      <c r="HJ68" s="29"/>
      <c r="HK68" s="28"/>
      <c r="HL68" s="28"/>
      <c r="HM68" s="160">
        <v>5.57E-2</v>
      </c>
      <c r="HN68" s="28">
        <v>11</v>
      </c>
      <c r="HO68" s="28"/>
      <c r="HP68" s="29"/>
      <c r="HQ68" s="28"/>
      <c r="HR68" s="28"/>
      <c r="HS68" s="160">
        <v>5.8599999999999999E-2</v>
      </c>
      <c r="HT68" s="28">
        <v>1.5843</v>
      </c>
      <c r="HU68" s="28">
        <v>1.0964</v>
      </c>
      <c r="HV68" s="29"/>
      <c r="HW68" s="28"/>
      <c r="HX68" s="28"/>
      <c r="HY68" s="160">
        <v>0.13650000000000001</v>
      </c>
      <c r="HZ68" s="28">
        <v>2.56</v>
      </c>
      <c r="IA68" s="28"/>
      <c r="IB68" s="29"/>
      <c r="IC68" s="28"/>
      <c r="ID68" s="28"/>
      <c r="IE68" s="160">
        <v>0.13650000000000001</v>
      </c>
      <c r="IF68" s="28">
        <v>2.56</v>
      </c>
      <c r="IG68" s="28"/>
      <c r="IH68" s="29"/>
      <c r="II68" s="28"/>
      <c r="IJ68" s="28"/>
      <c r="IK68" s="160">
        <v>5.0599999999999999E-2</v>
      </c>
      <c r="IL68" s="28"/>
      <c r="IM68" s="28"/>
      <c r="IN68" s="29"/>
      <c r="IO68" s="28"/>
      <c r="IP68" s="28"/>
      <c r="IQ68" s="160">
        <v>0.1578</v>
      </c>
      <c r="IR68" s="28"/>
      <c r="IS68" s="28"/>
      <c r="IT68" s="29"/>
      <c r="IU68" s="28"/>
      <c r="IV68" s="28"/>
      <c r="IW68" s="160">
        <v>0.13650000000000001</v>
      </c>
      <c r="IX68" s="28"/>
      <c r="IY68" s="28"/>
      <c r="IZ68" s="29"/>
      <c r="JA68" s="28"/>
      <c r="JB68" s="28"/>
      <c r="JC68" s="160">
        <v>0.69040000000000001</v>
      </c>
      <c r="JD68" s="28">
        <v>2.6507000000000001</v>
      </c>
      <c r="JE68" s="28"/>
      <c r="JF68" s="29"/>
      <c r="JG68" s="28"/>
      <c r="JH68" s="28"/>
      <c r="JI68" s="160">
        <v>0.69040000000000001</v>
      </c>
      <c r="JJ68" s="28">
        <v>1.5004</v>
      </c>
      <c r="JK68" s="28"/>
      <c r="JL68" s="29"/>
      <c r="JM68" s="28"/>
      <c r="JN68" s="28"/>
      <c r="JO68" s="160">
        <v>2.3159999999999998</v>
      </c>
      <c r="JP68" s="28">
        <v>0.52039999999999997</v>
      </c>
      <c r="JQ68" s="28">
        <v>0.85019999999999996</v>
      </c>
      <c r="JR68" s="29"/>
      <c r="JS68" s="28"/>
      <c r="JT68" s="28"/>
      <c r="JU68" s="160">
        <v>0.61299999999999999</v>
      </c>
      <c r="JV68" s="28">
        <v>0.61299999999999999</v>
      </c>
      <c r="JW68" s="28">
        <v>4.2</v>
      </c>
      <c r="JX68" s="29"/>
      <c r="JY68" s="28"/>
      <c r="JZ68" s="28"/>
      <c r="KA68" s="160">
        <v>0.61299999999999999</v>
      </c>
      <c r="KB68" s="28">
        <v>0.61299999999999999</v>
      </c>
      <c r="KC68" s="28">
        <v>4.2</v>
      </c>
      <c r="KD68" s="29"/>
      <c r="KE68" s="28"/>
      <c r="KF68" s="28"/>
      <c r="KG68" s="160">
        <v>0.71089999999999998</v>
      </c>
      <c r="KH68" s="28">
        <v>1.92</v>
      </c>
      <c r="KI68" s="28"/>
      <c r="KJ68" s="29"/>
      <c r="KK68" s="28"/>
      <c r="KL68" s="28"/>
      <c r="KM68" s="160">
        <v>5.57E-2</v>
      </c>
      <c r="KN68" s="28"/>
      <c r="KO68" s="28"/>
      <c r="KP68" s="29"/>
      <c r="KQ68" s="28"/>
      <c r="KR68" s="28"/>
      <c r="KS68" s="160">
        <v>4.5499999999999999E-2</v>
      </c>
      <c r="KT68" s="28">
        <v>0.23899999999999999</v>
      </c>
      <c r="KU68" s="28"/>
      <c r="KV68" s="29"/>
      <c r="KW68" s="28"/>
      <c r="KX68" s="28"/>
      <c r="KY68" s="160">
        <v>5.57E-2</v>
      </c>
      <c r="KZ68" s="28">
        <v>0.88109999999999999</v>
      </c>
      <c r="LA68" s="28">
        <v>0.88109999999999999</v>
      </c>
      <c r="LB68" s="29"/>
      <c r="LC68" s="160"/>
      <c r="LD68" s="28"/>
      <c r="LE68" s="160">
        <v>8.7300000000000003E-2</v>
      </c>
      <c r="LF68" s="28">
        <v>2.7517999999999998</v>
      </c>
      <c r="LG68" s="28">
        <v>1.5</v>
      </c>
      <c r="LH68" s="29">
        <v>3.8046000000000002</v>
      </c>
      <c r="LI68" s="160"/>
      <c r="LJ68" s="28"/>
      <c r="LK68" s="160">
        <v>5.57E-2</v>
      </c>
      <c r="LL68" s="28"/>
      <c r="LM68" s="28"/>
      <c r="LN68" s="29"/>
      <c r="LO68" s="28"/>
      <c r="LP68" s="28"/>
      <c r="LQ68" s="160">
        <v>0.69040000000000001</v>
      </c>
      <c r="LR68" s="28">
        <v>0.40500000000000003</v>
      </c>
      <c r="LS68" s="28"/>
      <c r="LT68" s="29"/>
      <c r="LU68" s="28"/>
      <c r="LV68" s="28"/>
      <c r="LW68" s="160">
        <v>0.61299999999999999</v>
      </c>
      <c r="LX68" s="28">
        <v>0.63329999999999997</v>
      </c>
      <c r="LY68" s="28"/>
      <c r="LZ68" s="29"/>
      <c r="MA68" s="28"/>
      <c r="MB68" s="28"/>
      <c r="MC68" s="160">
        <v>0.61299999999999999</v>
      </c>
      <c r="MD68" s="28">
        <v>0.63329999999999997</v>
      </c>
      <c r="ME68" s="28"/>
      <c r="MF68" s="29"/>
      <c r="MG68" s="28"/>
      <c r="MH68" s="28"/>
      <c r="MI68" s="160">
        <v>0.17910000000000001</v>
      </c>
      <c r="MJ68" s="28"/>
      <c r="MK68" s="28"/>
      <c r="ML68" s="29"/>
      <c r="MM68" s="28"/>
      <c r="MN68" s="28"/>
      <c r="MO68" s="160">
        <v>0.22439999999999999</v>
      </c>
      <c r="MP68" s="28">
        <v>2.6659999999999999</v>
      </c>
      <c r="MQ68" s="28"/>
      <c r="MR68" s="29"/>
      <c r="MS68" s="28"/>
      <c r="MT68" s="28"/>
      <c r="MU68" s="160">
        <v>0.69040000000000001</v>
      </c>
      <c r="MV68" s="28"/>
      <c r="MW68" s="28">
        <v>0.41899999999999998</v>
      </c>
      <c r="MX68" s="29">
        <v>1.0559000000000001</v>
      </c>
      <c r="MY68" s="28"/>
      <c r="MZ68" s="28"/>
      <c r="NA68" s="160"/>
      <c r="NB68" s="28"/>
      <c r="NC68" s="28"/>
      <c r="ND68" s="29"/>
      <c r="NE68" s="28"/>
      <c r="NF68" s="28"/>
      <c r="NG68" s="160"/>
      <c r="NH68" s="28"/>
      <c r="NI68" s="28"/>
      <c r="NJ68" s="29"/>
    </row>
    <row r="69" spans="1:374" s="7" customFormat="1" x14ac:dyDescent="0.45">
      <c r="A69" s="274"/>
      <c r="B69" s="7" t="s">
        <v>428</v>
      </c>
      <c r="C69" s="32"/>
      <c r="D69" s="32"/>
      <c r="E69" s="137">
        <f>VLOOKUP(E$1,니케스팩!$M$2:$N$7,2,0)</f>
        <v>550</v>
      </c>
      <c r="F69" s="32">
        <f>E69/120</f>
        <v>4.583333333333333</v>
      </c>
      <c r="G69" s="32">
        <f>E69/120+1</f>
        <v>5.583333333333333</v>
      </c>
      <c r="H69" s="31"/>
      <c r="I69" s="32"/>
      <c r="J69" s="32"/>
      <c r="K69" s="137">
        <v>18</v>
      </c>
      <c r="L69" s="32">
        <f>$K$56/9</f>
        <v>2</v>
      </c>
      <c r="M69" s="32">
        <f>$K$56/9</f>
        <v>2</v>
      </c>
      <c r="N69" s="31">
        <f>$K$56/9</f>
        <v>2</v>
      </c>
      <c r="O69" s="32"/>
      <c r="P69" s="32"/>
      <c r="Q69" s="137">
        <v>14</v>
      </c>
      <c r="R69" s="32">
        <f>$K$56/9</f>
        <v>2</v>
      </c>
      <c r="S69" s="32">
        <f>$K$56/9</f>
        <v>2</v>
      </c>
      <c r="T69" s="31">
        <f>$K$56/9</f>
        <v>2</v>
      </c>
      <c r="U69" s="32"/>
      <c r="V69" s="32"/>
      <c r="W69" s="137">
        <v>30</v>
      </c>
      <c r="X69" s="32">
        <f>W69</f>
        <v>30</v>
      </c>
      <c r="Y69" s="32"/>
      <c r="Z69" s="31"/>
      <c r="AA69" s="32">
        <v>10</v>
      </c>
      <c r="AB69" s="32"/>
      <c r="AC69" s="137">
        <f>VLOOKUP(AC$1,니케스팩!$M$2:$N$7,2,0)</f>
        <v>550</v>
      </c>
      <c r="AD69" s="32">
        <v>10</v>
      </c>
      <c r="AE69" s="32"/>
      <c r="AF69" s="31"/>
      <c r="AG69" s="32">
        <v>10</v>
      </c>
      <c r="AH69" s="32"/>
      <c r="AI69" s="137">
        <f>VLOOKUP(AI$1,니케스팩!$M$2:$N$7,2,0)</f>
        <v>550</v>
      </c>
      <c r="AJ69" s="32">
        <v>10</v>
      </c>
      <c r="AK69" s="32"/>
      <c r="AL69" s="31"/>
      <c r="AM69" s="32">
        <v>10</v>
      </c>
      <c r="AN69" s="32"/>
      <c r="AO69" s="137">
        <f>VLOOKUP(AO$1,니케스팩!$M$2:$N$7,2,0)</f>
        <v>550</v>
      </c>
      <c r="AP69" s="32">
        <v>10</v>
      </c>
      <c r="AQ69" s="32"/>
      <c r="AR69" s="31"/>
      <c r="AS69" s="32"/>
      <c r="AT69" s="32"/>
      <c r="AU69" s="137">
        <f>VLOOKUP(AU$1,니케스팩!$M$2:$N$7,2,0)*80/125</f>
        <v>9.6959999999999997</v>
      </c>
      <c r="AV69" s="32">
        <f>VLOOKUP(AU$1,니케스팩!$M$2:$N$7,2,0)*45/125</f>
        <v>5.4539999999999997</v>
      </c>
      <c r="AW69" s="32"/>
      <c r="AX69" s="31"/>
      <c r="AY69" s="32"/>
      <c r="AZ69" s="32"/>
      <c r="BA69" s="137">
        <f>VLOOKUP(BA$1,니케스팩!$M$2:$N$7,2,0)*80/140</f>
        <v>8.6571428571428566</v>
      </c>
      <c r="BB69" s="32">
        <f>VLOOKUP(BA$1,니케스팩!$M$2:$N$7,2,0)*60/140</f>
        <v>6.4928571428571429</v>
      </c>
      <c r="BC69" s="32"/>
      <c r="BD69" s="31"/>
      <c r="BE69" s="32"/>
      <c r="BF69" s="32"/>
      <c r="BG69" s="137">
        <v>8</v>
      </c>
      <c r="BH69" s="32">
        <f>BG69</f>
        <v>8</v>
      </c>
      <c r="BI69" s="32"/>
      <c r="BJ69" s="31"/>
      <c r="BK69" s="32"/>
      <c r="BL69" s="32"/>
      <c r="BM69" s="137">
        <v>12</v>
      </c>
      <c r="BN69" s="32"/>
      <c r="BO69" s="32"/>
      <c r="BP69" s="31"/>
      <c r="BQ69" s="32"/>
      <c r="BR69" s="32"/>
      <c r="BS69" s="137">
        <v>35</v>
      </c>
      <c r="BT69" s="32"/>
      <c r="BU69" s="32"/>
      <c r="BV69" s="31"/>
      <c r="BW69" s="32"/>
      <c r="BX69" s="32"/>
      <c r="BY69" s="137">
        <f>VLOOKUP(BY$1,니케스팩!$M$2:$N$7,2,0)</f>
        <v>15.15</v>
      </c>
      <c r="BZ69" s="32">
        <f>5/15*4</f>
        <v>1.3333333333333333</v>
      </c>
      <c r="CA69" s="32"/>
      <c r="CB69" s="31"/>
      <c r="CC69" s="32"/>
      <c r="CD69" s="32"/>
      <c r="CE69" s="137">
        <f>VLOOKUP(CE$1,니케스팩!$M$2:$N$7,2,0)</f>
        <v>550</v>
      </c>
      <c r="CF69" s="32">
        <f>CE69/60</f>
        <v>9.1666666666666661</v>
      </c>
      <c r="CG69" s="32">
        <f>CE69/60*메인!$C$4</f>
        <v>0</v>
      </c>
      <c r="CH69" s="31"/>
      <c r="CI69" s="32"/>
      <c r="CJ69" s="32"/>
      <c r="CK69" s="137">
        <f>VLOOKUP(CK$1,니케스팩!$M$2:$N$7,2,0)</f>
        <v>15.15</v>
      </c>
      <c r="CL69" s="32">
        <f>CK69/10</f>
        <v>1.5150000000000001</v>
      </c>
      <c r="CM69" s="32">
        <f>CK69/5</f>
        <v>3.0300000000000002</v>
      </c>
      <c r="CN69" s="31"/>
      <c r="CO69" s="32"/>
      <c r="CP69" s="32"/>
      <c r="CQ69" s="137">
        <f>VLOOKUP(CQ$1,니케스팩!$M$2:$N$7,2,0)</f>
        <v>15.15</v>
      </c>
      <c r="CR69" s="32">
        <f>CQ69/3</f>
        <v>5.05</v>
      </c>
      <c r="CS69" s="32"/>
      <c r="CT69" s="31"/>
      <c r="CU69" s="32"/>
      <c r="CV69" s="32"/>
      <c r="CW69" s="137">
        <f>VLOOKUP(CW$1,니케스팩!$M$2:$N$7,2,0)</f>
        <v>15.15</v>
      </c>
      <c r="CX69" s="32">
        <f>CW69</f>
        <v>15.15</v>
      </c>
      <c r="CY69" s="32"/>
      <c r="CZ69" s="31"/>
      <c r="DA69" s="32">
        <v>4</v>
      </c>
      <c r="DB69" s="32"/>
      <c r="DC69" s="137">
        <f>VLOOKUP(DC$1,니케스팩!$M$2:$N$7,2,0)</f>
        <v>8.1300000000000008</v>
      </c>
      <c r="DD69" s="32">
        <v>4</v>
      </c>
      <c r="DE69" s="32"/>
      <c r="DF69" s="31"/>
      <c r="DG69" s="32">
        <v>4</v>
      </c>
      <c r="DH69" s="32"/>
      <c r="DI69" s="137">
        <f>VLOOKUP(DI$1,니케스팩!$M$2:$N$7,2,0)</f>
        <v>8.1300000000000008</v>
      </c>
      <c r="DJ69" s="32">
        <v>4</v>
      </c>
      <c r="DK69" s="32"/>
      <c r="DL69" s="31"/>
      <c r="DM69" s="32"/>
      <c r="DN69" s="32"/>
      <c r="DO69" s="137">
        <f>VLOOKUP(DO$1,니케스팩!$M$2:$N$7,2,0)</f>
        <v>120</v>
      </c>
      <c r="DP69" s="32"/>
      <c r="DQ69" s="32"/>
      <c r="DR69" s="31"/>
      <c r="DS69" s="32"/>
      <c r="DT69" s="32"/>
      <c r="DU69" s="137">
        <f>VLOOKUP(DU$1,니케스팩!$M$2:$N$7,2,0)</f>
        <v>550</v>
      </c>
      <c r="DV69" s="32">
        <f>DU69</f>
        <v>550</v>
      </c>
      <c r="DW69" s="32"/>
      <c r="DX69" s="31"/>
      <c r="DY69" s="32"/>
      <c r="DZ69" s="32"/>
      <c r="EA69" s="137">
        <f>VLOOKUP(EA$1,니케스팩!$M$2:$N$7,2,0)</f>
        <v>8.1300000000000008</v>
      </c>
      <c r="EB69" s="32">
        <f>EA69</f>
        <v>8.1300000000000008</v>
      </c>
      <c r="EC69" s="32"/>
      <c r="ED69" s="31"/>
      <c r="EE69" s="32"/>
      <c r="EF69" s="32"/>
      <c r="EG69" s="137">
        <f>VLOOKUP(EG$1,니케스팩!$M$2:$N$7,2,0)</f>
        <v>8.1300000000000008</v>
      </c>
      <c r="EH69" s="32">
        <f>EG69</f>
        <v>8.1300000000000008</v>
      </c>
      <c r="EI69" s="32"/>
      <c r="EJ69" s="31"/>
      <c r="EK69" s="32"/>
      <c r="EL69" s="32"/>
      <c r="EM69" s="137">
        <f>VLOOKUP(EM$1,니케스팩!$M$2:$N$7,2,0)</f>
        <v>8.1300000000000008</v>
      </c>
      <c r="EN69" s="32"/>
      <c r="EO69" s="32"/>
      <c r="EP69" s="31"/>
      <c r="EQ69" s="32"/>
      <c r="ER69" s="32"/>
      <c r="ES69" s="137">
        <f>VLOOKUP(ES$1,니케스팩!$M$2:$N$7,2,0)</f>
        <v>15.15</v>
      </c>
      <c r="ET69" s="32">
        <f>ES69/3</f>
        <v>5.05</v>
      </c>
      <c r="EU69" s="32"/>
      <c r="EV69" s="31"/>
      <c r="EW69" s="32"/>
      <c r="EX69" s="32"/>
      <c r="EY69" s="137">
        <f>VLOOKUP(EY$1,니케스팩!$M$2:$N$7,2,0)</f>
        <v>15.15</v>
      </c>
      <c r="EZ69" s="32">
        <f>EY69/2</f>
        <v>7.5750000000000002</v>
      </c>
      <c r="FA69" s="32"/>
      <c r="FB69" s="31"/>
      <c r="FC69" s="32"/>
      <c r="FD69" s="32"/>
      <c r="FE69" s="137">
        <f>VLOOKUP(FE$1,니케스팩!$M$2:$N$7,2,0)</f>
        <v>120</v>
      </c>
      <c r="FF69" s="32"/>
      <c r="FG69" s="32"/>
      <c r="FH69" s="31"/>
      <c r="FI69" s="32"/>
      <c r="FJ69" s="32"/>
      <c r="FK69" s="137">
        <f>VLOOKUP(FK$1,니케스팩!$M$2:$N$7,2,0)</f>
        <v>120</v>
      </c>
      <c r="FL69" s="32">
        <f>FK69*MIN(1,0.15+(SUM(버프정리!$AB$21:$AB$22)+SUM(버프정리!$AH$21:$AH$22))/2)/8</f>
        <v>5.2575000000000003</v>
      </c>
      <c r="FM69" s="32">
        <f>FL69*MIN(1,0.15+(버프정리!$AB$21+버프정리!$AH$21)/2)</f>
        <v>1.8427537500000002</v>
      </c>
      <c r="FN69" s="31"/>
      <c r="FO69" s="32"/>
      <c r="FP69" s="32"/>
      <c r="FQ69" s="137">
        <f>VLOOKUP(FQ$1,니케스팩!$M$2:$N$7,2,0)</f>
        <v>8.1300000000000008</v>
      </c>
      <c r="FR69" s="32">
        <f>FQ69</f>
        <v>8.1300000000000008</v>
      </c>
      <c r="FS69" s="32"/>
      <c r="FT69" s="31"/>
      <c r="FU69" s="32"/>
      <c r="FV69" s="32"/>
      <c r="FW69" s="137">
        <f>VLOOKUP(FW$1,니케스팩!$M$2:$N$7,2,0)</f>
        <v>8.1300000000000008</v>
      </c>
      <c r="FX69" s="32">
        <f>FW69</f>
        <v>8.1300000000000008</v>
      </c>
      <c r="FY69" s="32"/>
      <c r="FZ69" s="31"/>
      <c r="GA69" s="32"/>
      <c r="GB69" s="32"/>
      <c r="GC69" s="137">
        <f>VLOOKUP(GC$1,니케스팩!$M$2:$N$7,2,0)</f>
        <v>120</v>
      </c>
      <c r="GD69" s="32">
        <f>GC69*(0.15+(SUM(버프정리!$AB$21:$AB$22)+SUM(버프정리!$AH$21:$AH$22))/2)/44*3</f>
        <v>2.8677272727272727</v>
      </c>
      <c r="GE69" s="32"/>
      <c r="GF69" s="31"/>
      <c r="GG69" s="32"/>
      <c r="GH69" s="32"/>
      <c r="GI69" s="137">
        <v>6</v>
      </c>
      <c r="GJ69" s="32">
        <v>10</v>
      </c>
      <c r="GK69" s="32"/>
      <c r="GL69" s="31"/>
      <c r="GM69" s="32"/>
      <c r="GN69" s="32"/>
      <c r="GO69" s="137">
        <v>6</v>
      </c>
      <c r="GP69" s="32">
        <v>10</v>
      </c>
      <c r="GQ69" s="32"/>
      <c r="GR69" s="31"/>
      <c r="GS69" s="32"/>
      <c r="GT69" s="32"/>
      <c r="GU69" s="137">
        <f>VLOOKUP(GU$1,니케스팩!$M$2:$N$7,2,0)</f>
        <v>120</v>
      </c>
      <c r="GV69" s="32">
        <f>GU69/30</f>
        <v>4</v>
      </c>
      <c r="GW69" s="32">
        <f>10/15</f>
        <v>0.66666666666666663</v>
      </c>
      <c r="GX69" s="31"/>
      <c r="GY69" s="32"/>
      <c r="GZ69" s="32"/>
      <c r="HA69" s="137">
        <f>VLOOKUP(HA$1,니케스팩!$M$2:$N$7,2,0)</f>
        <v>8.1300000000000008</v>
      </c>
      <c r="HB69" s="32">
        <v>1</v>
      </c>
      <c r="HC69" s="32"/>
      <c r="HD69" s="31"/>
      <c r="HE69" s="32">
        <v>1</v>
      </c>
      <c r="HF69" s="32"/>
      <c r="HG69" s="137">
        <f>VLOOKUP(HG$1,니케스팩!$M$2:$N$7,2,0)</f>
        <v>8.1300000000000008</v>
      </c>
      <c r="HI69" s="32"/>
      <c r="HJ69" s="31"/>
      <c r="HK69" s="32"/>
      <c r="HL69" s="32"/>
      <c r="HM69" s="137">
        <f>VLOOKUP(HM$1,니케스팩!$M$2:$N$7,2,0)</f>
        <v>550</v>
      </c>
      <c r="HN69" s="32">
        <f>10/6</f>
        <v>1.6666666666666667</v>
      </c>
      <c r="HO69" s="32"/>
      <c r="HP69" s="31"/>
      <c r="HQ69" s="32"/>
      <c r="HR69" s="32"/>
      <c r="HS69" s="137">
        <f>VLOOKUP(HS$1,니케스팩!$M$2:$N$7,2,0)</f>
        <v>550</v>
      </c>
      <c r="HT69" s="32">
        <f>HS69/60</f>
        <v>9.1666666666666661</v>
      </c>
      <c r="HU69" s="32">
        <f>HS69/60*메인!$C$4</f>
        <v>0</v>
      </c>
      <c r="HV69" s="31"/>
      <c r="HW69" s="32"/>
      <c r="HX69" s="32"/>
      <c r="HY69" s="137">
        <f>VLOOKUP(HY$1,니케스팩!$M$2:$N$7,2,0)</f>
        <v>120</v>
      </c>
      <c r="HZ69" s="32">
        <v>5</v>
      </c>
      <c r="IA69" s="32"/>
      <c r="IB69" s="31"/>
      <c r="IC69" s="32"/>
      <c r="ID69" s="32"/>
      <c r="IE69" s="137">
        <f>VLOOKUP(IE$1,니케스팩!$M$2:$N$7,2,0)</f>
        <v>120</v>
      </c>
      <c r="IF69" s="32">
        <v>10</v>
      </c>
      <c r="IG69" s="32"/>
      <c r="IH69" s="31"/>
      <c r="II69" s="32"/>
      <c r="IJ69" s="32"/>
      <c r="IK69" s="137">
        <f>VLOOKUP(IK$1,니케스팩!$M$2:$N$7,2,0)*2</f>
        <v>400</v>
      </c>
      <c r="IL69" s="32"/>
      <c r="IM69" s="32"/>
      <c r="IN69" s="31"/>
      <c r="IO69" s="32"/>
      <c r="IP69" s="32"/>
      <c r="IQ69" s="137">
        <f>VLOOKUP(IQ$1,니케스팩!$M$2:$N$7,2,0)</f>
        <v>120</v>
      </c>
      <c r="IR69" s="32"/>
      <c r="IS69" s="32"/>
      <c r="IT69" s="31"/>
      <c r="IU69" s="32"/>
      <c r="IV69" s="32"/>
      <c r="IW69" s="137">
        <f>VLOOKUP(IW$1,니케스팩!$M$2:$N$7,2,0)</f>
        <v>120</v>
      </c>
      <c r="IX69" s="32"/>
      <c r="IY69" s="32"/>
      <c r="IZ69" s="31"/>
      <c r="JA69" s="32"/>
      <c r="JB69" s="32"/>
      <c r="JC69" s="137">
        <v>7</v>
      </c>
      <c r="JD69" s="32">
        <f>JC69</f>
        <v>7</v>
      </c>
      <c r="JE69" s="32"/>
      <c r="JF69" s="31"/>
      <c r="JG69" s="32"/>
      <c r="JH69" s="32"/>
      <c r="JI69" s="137">
        <v>7</v>
      </c>
      <c r="JJ69" s="32">
        <v>10</v>
      </c>
      <c r="JK69" s="32"/>
      <c r="JL69" s="31"/>
      <c r="JM69" s="32"/>
      <c r="JN69" s="32"/>
      <c r="JO69" s="137">
        <f>VLOOKUP(JO$1,니케스팩!$M$2:$N$7,2,0)</f>
        <v>15.15</v>
      </c>
      <c r="JP69" s="32">
        <f>JO69</f>
        <v>15.15</v>
      </c>
      <c r="JQ69" s="32">
        <f>JO69</f>
        <v>15.15</v>
      </c>
      <c r="JR69" s="31"/>
      <c r="JS69" s="32"/>
      <c r="JT69" s="32"/>
      <c r="JU69" s="137">
        <f>VLOOKUP(JU$1,니케스팩!$M$2:$N$7,2,0)</f>
        <v>8.1300000000000008</v>
      </c>
      <c r="JV69" s="32">
        <v>0</v>
      </c>
      <c r="JW69" s="32">
        <v>5</v>
      </c>
      <c r="JX69" s="31"/>
      <c r="JY69" s="32"/>
      <c r="JZ69" s="32"/>
      <c r="KA69" s="137">
        <f>VLOOKUP(KA$1,니케스팩!$M$2:$N$7,2,0)</f>
        <v>8.1300000000000008</v>
      </c>
      <c r="KB69" s="32">
        <v>0</v>
      </c>
      <c r="KC69" s="32">
        <v>5</v>
      </c>
      <c r="KD69" s="31"/>
      <c r="KE69" s="32"/>
      <c r="KF69" s="32"/>
      <c r="KG69" s="137">
        <v>18</v>
      </c>
      <c r="KH69" s="32">
        <v>10</v>
      </c>
      <c r="KI69" s="32"/>
      <c r="KJ69" s="31"/>
      <c r="KK69" s="32"/>
      <c r="KL69" s="32"/>
      <c r="KM69" s="137">
        <f>VLOOKUP(KM$1,니케스팩!$M$2:$N$7,2,0)</f>
        <v>550</v>
      </c>
      <c r="KN69" s="32"/>
      <c r="KO69" s="32"/>
      <c r="KP69" s="31"/>
      <c r="KQ69" s="32"/>
      <c r="KR69" s="32"/>
      <c r="KS69" s="137">
        <v>480</v>
      </c>
      <c r="KT69" s="32">
        <f>KS69*(0.15+MIN(1,SUM(버프정리!$B$21:$AB$22)+SUM(버프정리!$AH$21:$AH$22))/2)/4</f>
        <v>78</v>
      </c>
      <c r="KU69" s="32"/>
      <c r="KV69" s="31"/>
      <c r="KW69" s="32"/>
      <c r="KX69" s="32"/>
      <c r="KY69" s="137">
        <f>VLOOKUP(KY$1,니케스팩!$M$2:$N$7,2,0)</f>
        <v>550</v>
      </c>
      <c r="KZ69" s="32">
        <f>KY69/120</f>
        <v>4.583333333333333</v>
      </c>
      <c r="LA69" s="32">
        <f>KY69/120+1</f>
        <v>5.583333333333333</v>
      </c>
      <c r="LB69" s="31"/>
      <c r="LC69" s="137"/>
      <c r="LD69" s="32"/>
      <c r="LE69" s="137">
        <v>0</v>
      </c>
      <c r="LF69" s="32">
        <v>5</v>
      </c>
      <c r="LG69" s="32">
        <f>LF69</f>
        <v>5</v>
      </c>
      <c r="LH69" s="31">
        <f>LF69</f>
        <v>5</v>
      </c>
      <c r="LI69" s="137"/>
      <c r="LJ69" s="32"/>
      <c r="LK69" s="137">
        <f>VLOOKUP(LK$1,니케스팩!$M$2:$N$7,2,0)</f>
        <v>550</v>
      </c>
      <c r="LL69" s="32"/>
      <c r="LM69" s="32"/>
      <c r="LN69" s="31"/>
      <c r="LO69" s="32"/>
      <c r="LP69" s="32"/>
      <c r="LQ69" s="137">
        <v>7</v>
      </c>
      <c r="LR69" s="32">
        <f>LQ69*5</f>
        <v>35</v>
      </c>
      <c r="LS69" s="32"/>
      <c r="LT69" s="31"/>
      <c r="LU69" s="32"/>
      <c r="LV69" s="32"/>
      <c r="LW69" s="137">
        <f>VLOOKUP(LW$1,니케스팩!$M$2:$N$7,2,0)</f>
        <v>8.1300000000000008</v>
      </c>
      <c r="LX69" s="32">
        <v>9</v>
      </c>
      <c r="LY69" s="32"/>
      <c r="LZ69" s="31"/>
      <c r="MA69" s="32"/>
      <c r="MB69" s="32"/>
      <c r="MC69" s="137">
        <f>VLOOKUP(MC$1,니케스팩!$M$2:$N$7,2,0)</f>
        <v>15.15</v>
      </c>
      <c r="MD69" s="32">
        <v>9</v>
      </c>
      <c r="ME69" s="32"/>
      <c r="MF69" s="31"/>
      <c r="MG69" s="32"/>
      <c r="MH69" s="32"/>
      <c r="MI69" s="137">
        <f>VLOOKUP(MI$1,[2]니케스팩!$M$2:$N$7,2,0)</f>
        <v>120</v>
      </c>
      <c r="MJ69" s="32"/>
      <c r="MK69" s="32"/>
      <c r="ML69" s="31"/>
      <c r="MM69" s="32"/>
      <c r="MN69" s="32"/>
      <c r="MO69" s="137">
        <v>12</v>
      </c>
      <c r="MP69" s="32">
        <f>MO69</f>
        <v>12</v>
      </c>
      <c r="MQ69" s="32"/>
      <c r="MR69" s="31"/>
      <c r="MS69" s="32"/>
      <c r="MT69" s="32"/>
      <c r="MU69" s="137">
        <f>10/(1.2+0.23)</f>
        <v>6.9930069930069934</v>
      </c>
      <c r="MV69" s="32"/>
      <c r="MW69" s="32">
        <f>MV69+MU69</f>
        <v>6.9930069930069934</v>
      </c>
      <c r="MX69" s="31">
        <f>MV69*10+MU69*5</f>
        <v>34.965034965034967</v>
      </c>
      <c r="MY69" s="32"/>
      <c r="MZ69" s="32"/>
      <c r="NA69" s="137">
        <f>VLOOKUP(NA$1,니케스팩!$M$2:$N$7,2,0)</f>
        <v>8.1300000000000008</v>
      </c>
      <c r="NB69" s="32"/>
      <c r="NC69" s="32"/>
      <c r="ND69" s="31"/>
      <c r="NE69" s="32"/>
      <c r="NF69" s="32"/>
      <c r="NG69" s="137" t="e">
        <f>VLOOKUP(NG$1,니케스팩!$M$2:$N$7,2,0)</f>
        <v>#N/A</v>
      </c>
      <c r="NH69" s="32"/>
      <c r="NI69" s="32"/>
      <c r="NJ69" s="31"/>
    </row>
    <row r="70" spans="1:374" x14ac:dyDescent="0.45">
      <c r="A70" s="274"/>
      <c r="B70" s="8" t="s">
        <v>249</v>
      </c>
      <c r="E70" s="138"/>
      <c r="K70" s="138">
        <v>1.5</v>
      </c>
      <c r="Q70" s="138">
        <v>1.5</v>
      </c>
      <c r="W70" s="138">
        <v>2</v>
      </c>
      <c r="X70" s="14">
        <f>W70</f>
        <v>2</v>
      </c>
      <c r="AC70" s="138"/>
      <c r="AI70" s="138"/>
      <c r="AO70" s="138"/>
      <c r="AU70" s="138"/>
      <c r="BA70" s="138"/>
      <c r="BG70" s="138">
        <v>2.5</v>
      </c>
      <c r="BH70" s="14">
        <f>BG70</f>
        <v>2.5</v>
      </c>
      <c r="BM70" s="138">
        <v>2.5</v>
      </c>
      <c r="BS70" s="138">
        <v>1</v>
      </c>
      <c r="BY70" s="138"/>
      <c r="CE70" s="138"/>
      <c r="CK70" s="138"/>
      <c r="CQ70" s="138"/>
      <c r="CW70" s="138"/>
      <c r="DC70" s="138">
        <v>2.5</v>
      </c>
      <c r="DI70" s="138">
        <v>2.5</v>
      </c>
      <c r="DO70" s="138"/>
      <c r="DU70" s="138"/>
      <c r="EA70" s="138">
        <v>2.5</v>
      </c>
      <c r="EG70" s="138">
        <v>2.5</v>
      </c>
      <c r="EM70" s="138">
        <v>2.5</v>
      </c>
      <c r="ES70" s="138"/>
      <c r="EY70" s="138"/>
      <c r="FE70" s="138"/>
      <c r="FK70" s="138"/>
      <c r="FQ70" s="138">
        <v>2.5</v>
      </c>
      <c r="FW70" s="138">
        <v>2.5</v>
      </c>
      <c r="GC70" s="138"/>
      <c r="GI70" s="138">
        <v>2.5</v>
      </c>
      <c r="GO70" s="138">
        <v>2.5</v>
      </c>
      <c r="GU70" s="138"/>
      <c r="HA70" s="138">
        <v>2.5</v>
      </c>
      <c r="HB70" s="14">
        <v>3</v>
      </c>
      <c r="HG70" s="138">
        <v>2.5</v>
      </c>
      <c r="HM70" s="138"/>
      <c r="HS70" s="138"/>
      <c r="HY70" s="138"/>
      <c r="IE70" s="138"/>
      <c r="IK70" s="138"/>
      <c r="IQ70" s="138"/>
      <c r="IW70" s="138"/>
      <c r="JC70" s="138">
        <v>2.5</v>
      </c>
      <c r="JI70" s="138">
        <v>2.5</v>
      </c>
      <c r="JO70" s="138"/>
      <c r="JU70" s="138">
        <v>2.5</v>
      </c>
      <c r="JV70" s="14">
        <v>17.5</v>
      </c>
      <c r="KA70" s="138">
        <v>2.5</v>
      </c>
      <c r="KB70" s="14">
        <v>17.5</v>
      </c>
      <c r="KG70" s="138"/>
      <c r="KM70" s="138"/>
      <c r="KS70" s="138"/>
      <c r="KY70" s="138"/>
      <c r="LE70" s="138"/>
      <c r="LF70" s="14">
        <v>2.5</v>
      </c>
      <c r="LK70" s="138"/>
      <c r="LQ70" s="138">
        <v>2.5</v>
      </c>
      <c r="LW70" s="138">
        <v>2.5</v>
      </c>
      <c r="MC70" s="138">
        <v>2.5</v>
      </c>
      <c r="MI70" s="138"/>
      <c r="MO70" s="138">
        <v>2</v>
      </c>
      <c r="MU70" s="138">
        <v>2.5</v>
      </c>
      <c r="NA70" s="138"/>
      <c r="NG70" s="138"/>
    </row>
    <row r="71" spans="1:374" s="7" customFormat="1" x14ac:dyDescent="0.45">
      <c r="A71" s="274"/>
      <c r="B71" s="7" t="s">
        <v>429</v>
      </c>
      <c r="C71" s="32"/>
      <c r="D71" s="32"/>
      <c r="E71" s="137"/>
      <c r="F71" s="32"/>
      <c r="G71" s="32"/>
      <c r="H71" s="31"/>
      <c r="I71" s="32"/>
      <c r="J71" s="32"/>
      <c r="K71" s="137">
        <v>0.3</v>
      </c>
      <c r="L71" s="32">
        <f>$K$58*3</f>
        <v>0.89999999999999991</v>
      </c>
      <c r="M71" s="32">
        <f>$K$58*3</f>
        <v>0.89999999999999991</v>
      </c>
      <c r="N71" s="31">
        <v>0.89999999999999991</v>
      </c>
      <c r="O71" s="32"/>
      <c r="P71" s="32"/>
      <c r="Q71" s="137">
        <v>0.3</v>
      </c>
      <c r="R71" s="32">
        <f>$K$58*3</f>
        <v>0.89999999999999991</v>
      </c>
      <c r="S71" s="32">
        <f>$K$58*3</f>
        <v>0.89999999999999991</v>
      </c>
      <c r="T71" s="31">
        <v>0.89999999999999991</v>
      </c>
      <c r="U71" s="32"/>
      <c r="V71" s="32"/>
      <c r="W71" s="137">
        <v>1</v>
      </c>
      <c r="X71" s="14">
        <f t="shared" ref="X71:X72" si="10">W71</f>
        <v>1</v>
      </c>
      <c r="Y71" s="32"/>
      <c r="Z71" s="31"/>
      <c r="AA71" s="32"/>
      <c r="AB71" s="32"/>
      <c r="AC71" s="137"/>
      <c r="AD71" s="32"/>
      <c r="AE71" s="32"/>
      <c r="AF71" s="31"/>
      <c r="AG71" s="32"/>
      <c r="AH71" s="32"/>
      <c r="AI71" s="137"/>
      <c r="AJ71" s="32"/>
      <c r="AK71" s="32"/>
      <c r="AL71" s="31"/>
      <c r="AM71" s="32"/>
      <c r="AN71" s="32"/>
      <c r="AO71" s="137"/>
      <c r="AP71" s="32"/>
      <c r="AQ71" s="32"/>
      <c r="AR71" s="31"/>
      <c r="AS71" s="32"/>
      <c r="AT71" s="32"/>
      <c r="AU71" s="137"/>
      <c r="AV71" s="32"/>
      <c r="AW71" s="32"/>
      <c r="AX71" s="31"/>
      <c r="AY71" s="32"/>
      <c r="AZ71" s="32"/>
      <c r="BA71" s="137"/>
      <c r="BB71" s="32"/>
      <c r="BC71" s="32"/>
      <c r="BD71" s="31"/>
      <c r="BE71" s="32"/>
      <c r="BF71" s="32"/>
      <c r="BG71" s="137">
        <v>1</v>
      </c>
      <c r="BH71" s="32">
        <f>BG71</f>
        <v>1</v>
      </c>
      <c r="BI71" s="32"/>
      <c r="BJ71" s="31"/>
      <c r="BK71" s="32"/>
      <c r="BL71" s="32"/>
      <c r="BM71" s="137">
        <v>1</v>
      </c>
      <c r="BN71" s="32"/>
      <c r="BO71" s="32"/>
      <c r="BP71" s="31"/>
      <c r="BQ71" s="32"/>
      <c r="BR71" s="32"/>
      <c r="BS71" s="137">
        <v>1.5</v>
      </c>
      <c r="BT71" s="32"/>
      <c r="BU71" s="32"/>
      <c r="BV71" s="31"/>
      <c r="BW71" s="32"/>
      <c r="BX71" s="32"/>
      <c r="BY71" s="137"/>
      <c r="BZ71" s="32"/>
      <c r="CA71" s="32"/>
      <c r="CB71" s="31"/>
      <c r="CC71" s="32"/>
      <c r="CD71" s="32"/>
      <c r="CE71" s="137"/>
      <c r="CF71" s="32"/>
      <c r="CG71" s="32"/>
      <c r="CH71" s="31"/>
      <c r="CI71" s="32"/>
      <c r="CJ71" s="32"/>
      <c r="CK71" s="137"/>
      <c r="CL71" s="32"/>
      <c r="CM71" s="32"/>
      <c r="CN71" s="31"/>
      <c r="CO71" s="32"/>
      <c r="CP71" s="32"/>
      <c r="CQ71" s="137"/>
      <c r="CR71" s="32"/>
      <c r="CS71" s="32"/>
      <c r="CT71" s="31"/>
      <c r="CU71" s="32"/>
      <c r="CV71" s="32"/>
      <c r="CW71" s="137"/>
      <c r="CX71" s="32"/>
      <c r="CY71" s="32"/>
      <c r="CZ71" s="31"/>
      <c r="DA71" s="32"/>
      <c r="DB71" s="32"/>
      <c r="DC71" s="137">
        <v>1</v>
      </c>
      <c r="DD71" s="32"/>
      <c r="DE71" s="32"/>
      <c r="DF71" s="31"/>
      <c r="DG71" s="32"/>
      <c r="DH71" s="32"/>
      <c r="DI71" s="137">
        <v>1</v>
      </c>
      <c r="DJ71" s="32"/>
      <c r="DK71" s="32"/>
      <c r="DL71" s="31"/>
      <c r="DM71" s="32"/>
      <c r="DN71" s="32"/>
      <c r="DO71" s="137"/>
      <c r="DP71" s="32"/>
      <c r="DQ71" s="32"/>
      <c r="DR71" s="31"/>
      <c r="DS71" s="32"/>
      <c r="DT71" s="32"/>
      <c r="DU71" s="137"/>
      <c r="DV71" s="32"/>
      <c r="DW71" s="32"/>
      <c r="DX71" s="31"/>
      <c r="DY71" s="32"/>
      <c r="DZ71" s="32"/>
      <c r="EA71" s="137">
        <v>1</v>
      </c>
      <c r="EB71" s="32"/>
      <c r="EC71" s="32"/>
      <c r="ED71" s="31"/>
      <c r="EE71" s="32"/>
      <c r="EF71" s="32"/>
      <c r="EG71" s="137">
        <v>1</v>
      </c>
      <c r="EH71" s="32"/>
      <c r="EI71" s="32"/>
      <c r="EJ71" s="31"/>
      <c r="EK71" s="32"/>
      <c r="EL71" s="32"/>
      <c r="EM71" s="137">
        <v>1</v>
      </c>
      <c r="EN71" s="32"/>
      <c r="EO71" s="32"/>
      <c r="EP71" s="31"/>
      <c r="EQ71" s="32"/>
      <c r="ER71" s="32"/>
      <c r="ES71" s="137"/>
      <c r="ET71" s="32"/>
      <c r="EU71" s="32"/>
      <c r="EV71" s="31"/>
      <c r="EW71" s="32"/>
      <c r="EX71" s="32"/>
      <c r="EY71" s="137"/>
      <c r="EZ71" s="32"/>
      <c r="FA71" s="32"/>
      <c r="FB71" s="31"/>
      <c r="FC71" s="32"/>
      <c r="FD71" s="32"/>
      <c r="FE71" s="137"/>
      <c r="FF71" s="32"/>
      <c r="FG71" s="32"/>
      <c r="FH71" s="31"/>
      <c r="FI71" s="32"/>
      <c r="FJ71" s="32"/>
      <c r="FK71" s="137"/>
      <c r="FL71" s="32"/>
      <c r="FM71" s="32"/>
      <c r="FN71" s="31"/>
      <c r="FO71" s="32"/>
      <c r="FP71" s="32"/>
      <c r="FQ71" s="137">
        <v>1</v>
      </c>
      <c r="FR71" s="32"/>
      <c r="FS71" s="32"/>
      <c r="FT71" s="31"/>
      <c r="FU71" s="32"/>
      <c r="FV71" s="32"/>
      <c r="FW71" s="137">
        <v>1</v>
      </c>
      <c r="FX71" s="32"/>
      <c r="FY71" s="32"/>
      <c r="FZ71" s="31"/>
      <c r="GA71" s="32"/>
      <c r="GB71" s="32"/>
      <c r="GC71" s="137"/>
      <c r="GD71" s="32"/>
      <c r="GE71" s="32"/>
      <c r="GF71" s="31"/>
      <c r="GG71" s="32"/>
      <c r="GH71" s="32"/>
      <c r="GI71" s="137">
        <v>1</v>
      </c>
      <c r="GJ71" s="32"/>
      <c r="GK71" s="32"/>
      <c r="GL71" s="31"/>
      <c r="GM71" s="32"/>
      <c r="GN71" s="32"/>
      <c r="GO71" s="137">
        <v>1</v>
      </c>
      <c r="GP71" s="32"/>
      <c r="GQ71" s="32"/>
      <c r="GR71" s="31"/>
      <c r="GS71" s="32"/>
      <c r="GT71" s="32"/>
      <c r="GU71" s="137"/>
      <c r="GV71" s="32"/>
      <c r="GW71" s="32"/>
      <c r="GX71" s="31"/>
      <c r="GY71" s="32"/>
      <c r="GZ71" s="32"/>
      <c r="HA71" s="137">
        <v>1</v>
      </c>
      <c r="HB71" s="32">
        <v>2</v>
      </c>
      <c r="HC71" s="32"/>
      <c r="HD71" s="31"/>
      <c r="HE71" s="32"/>
      <c r="HF71" s="32"/>
      <c r="HG71" s="137">
        <v>1</v>
      </c>
      <c r="HH71" s="32"/>
      <c r="HI71" s="32"/>
      <c r="HJ71" s="31"/>
      <c r="HK71" s="32"/>
      <c r="HL71" s="32"/>
      <c r="HM71" s="137"/>
      <c r="HN71" s="32"/>
      <c r="HO71" s="32"/>
      <c r="HP71" s="31"/>
      <c r="HQ71" s="32"/>
      <c r="HR71" s="32"/>
      <c r="HS71" s="137"/>
      <c r="HT71" s="32"/>
      <c r="HU71" s="32"/>
      <c r="HV71" s="31"/>
      <c r="HW71" s="32"/>
      <c r="HX71" s="32"/>
      <c r="HY71" s="137"/>
      <c r="HZ71" s="32"/>
      <c r="IA71" s="32"/>
      <c r="IB71" s="31"/>
      <c r="IC71" s="32"/>
      <c r="ID71" s="32"/>
      <c r="IE71" s="137"/>
      <c r="IF71" s="32"/>
      <c r="IG71" s="32"/>
      <c r="IH71" s="31"/>
      <c r="II71" s="32"/>
      <c r="IJ71" s="32"/>
      <c r="IK71" s="137"/>
      <c r="IL71" s="32"/>
      <c r="IM71" s="32"/>
      <c r="IN71" s="31"/>
      <c r="IO71" s="32"/>
      <c r="IP71" s="32"/>
      <c r="IQ71" s="137"/>
      <c r="IR71" s="32"/>
      <c r="IS71" s="32"/>
      <c r="IT71" s="31"/>
      <c r="IU71" s="32"/>
      <c r="IV71" s="32"/>
      <c r="IW71" s="137"/>
      <c r="IX71" s="32"/>
      <c r="IY71" s="32"/>
      <c r="IZ71" s="31"/>
      <c r="JA71" s="32"/>
      <c r="JB71" s="32"/>
      <c r="JC71" s="137">
        <v>1</v>
      </c>
      <c r="JD71" s="32"/>
      <c r="JE71" s="32"/>
      <c r="JF71" s="31"/>
      <c r="JG71" s="32"/>
      <c r="JH71" s="32"/>
      <c r="JI71" s="137">
        <v>1</v>
      </c>
      <c r="JJ71" s="32"/>
      <c r="JK71" s="32"/>
      <c r="JL71" s="31"/>
      <c r="JM71" s="32"/>
      <c r="JN71" s="32"/>
      <c r="JO71" s="137"/>
      <c r="JP71" s="32"/>
      <c r="JQ71" s="32"/>
      <c r="JR71" s="31"/>
      <c r="JS71" s="32"/>
      <c r="JT71" s="32"/>
      <c r="JU71" s="137">
        <v>1</v>
      </c>
      <c r="JV71" s="32">
        <v>4</v>
      </c>
      <c r="JW71" s="32"/>
      <c r="JX71" s="31"/>
      <c r="JY71" s="32"/>
      <c r="JZ71" s="32"/>
      <c r="KA71" s="137">
        <v>1</v>
      </c>
      <c r="KB71" s="32">
        <v>4</v>
      </c>
      <c r="KC71" s="32"/>
      <c r="KD71" s="31"/>
      <c r="KE71" s="32"/>
      <c r="KF71" s="32"/>
      <c r="KG71" s="137"/>
      <c r="KH71" s="32"/>
      <c r="KI71" s="32"/>
      <c r="KJ71" s="31"/>
      <c r="KK71" s="32"/>
      <c r="KL71" s="32"/>
      <c r="KM71" s="137"/>
      <c r="KN71" s="32"/>
      <c r="KO71" s="32"/>
      <c r="KP71" s="31"/>
      <c r="KQ71" s="32"/>
      <c r="KR71" s="32"/>
      <c r="KS71" s="137"/>
      <c r="KT71" s="32"/>
      <c r="KU71" s="32"/>
      <c r="KV71" s="31"/>
      <c r="KW71" s="32"/>
      <c r="KX71" s="32"/>
      <c r="KY71" s="137"/>
      <c r="KZ71" s="32"/>
      <c r="LA71" s="32"/>
      <c r="LB71" s="31"/>
      <c r="LC71" s="32"/>
      <c r="LD71" s="32"/>
      <c r="LE71" s="137"/>
      <c r="LF71" s="32"/>
      <c r="LG71" s="32"/>
      <c r="LH71" s="31"/>
      <c r="LI71" s="32"/>
      <c r="LJ71" s="32"/>
      <c r="LK71" s="137"/>
      <c r="LL71" s="32"/>
      <c r="LM71" s="32"/>
      <c r="LN71" s="31"/>
      <c r="LO71" s="32"/>
      <c r="LP71" s="32"/>
      <c r="LQ71" s="137">
        <v>1.5</v>
      </c>
      <c r="LR71" s="32"/>
      <c r="LS71" s="32"/>
      <c r="LT71" s="31"/>
      <c r="LU71" s="32"/>
      <c r="LV71" s="32"/>
      <c r="LW71" s="137">
        <v>1</v>
      </c>
      <c r="LX71" s="32"/>
      <c r="LY71" s="32"/>
      <c r="LZ71" s="31"/>
      <c r="MA71" s="32"/>
      <c r="MB71" s="32"/>
      <c r="MC71" s="137">
        <v>1</v>
      </c>
      <c r="MD71" s="32"/>
      <c r="ME71" s="32"/>
      <c r="MF71" s="31"/>
      <c r="MG71" s="32"/>
      <c r="MH71" s="32"/>
      <c r="MI71" s="137"/>
      <c r="MJ71" s="32"/>
      <c r="MK71" s="32"/>
      <c r="ML71" s="31"/>
      <c r="MM71" s="32"/>
      <c r="MN71" s="32"/>
      <c r="MO71" s="137">
        <v>2</v>
      </c>
      <c r="MP71" s="32"/>
      <c r="MQ71" s="32"/>
      <c r="MR71" s="31"/>
      <c r="MS71" s="32"/>
      <c r="MT71" s="32"/>
      <c r="MU71" s="137">
        <v>1.2</v>
      </c>
      <c r="MV71" s="32"/>
      <c r="MW71" s="32"/>
      <c r="MX71" s="31"/>
      <c r="MY71" s="32"/>
      <c r="MZ71" s="32"/>
      <c r="NA71" s="137"/>
      <c r="NB71" s="32"/>
      <c r="NC71" s="32"/>
      <c r="ND71" s="31"/>
      <c r="NE71" s="32"/>
      <c r="NF71" s="32"/>
      <c r="NG71" s="137"/>
      <c r="NH71" s="32"/>
      <c r="NI71" s="32"/>
      <c r="NJ71" s="31"/>
    </row>
    <row r="72" spans="1:374" s="7" customFormat="1" x14ac:dyDescent="0.45">
      <c r="A72" s="274"/>
      <c r="B72" s="7" t="s">
        <v>228</v>
      </c>
      <c r="C72" s="32"/>
      <c r="D72" s="32"/>
      <c r="E72" s="137"/>
      <c r="F72" s="32"/>
      <c r="G72" s="32"/>
      <c r="H72" s="31"/>
      <c r="I72" s="32"/>
      <c r="J72" s="32"/>
      <c r="K72" s="137">
        <v>0.43</v>
      </c>
      <c r="L72" s="32">
        <f>$K$59*3</f>
        <v>1.29</v>
      </c>
      <c r="M72" s="32">
        <f>$K$59*3</f>
        <v>1.29</v>
      </c>
      <c r="N72" s="31">
        <v>1.29</v>
      </c>
      <c r="O72" s="32"/>
      <c r="P72" s="32"/>
      <c r="Q72" s="137">
        <v>0.43</v>
      </c>
      <c r="R72" s="32">
        <f>$K$59*3</f>
        <v>1.29</v>
      </c>
      <c r="S72" s="32">
        <f>$K$59*3</f>
        <v>1.29</v>
      </c>
      <c r="T72" s="31">
        <v>1.29</v>
      </c>
      <c r="U72" s="32"/>
      <c r="V72" s="32"/>
      <c r="W72" s="137">
        <v>0.33</v>
      </c>
      <c r="X72" s="14">
        <f t="shared" si="10"/>
        <v>0.33</v>
      </c>
      <c r="Y72" s="32"/>
      <c r="Z72" s="31"/>
      <c r="AA72" s="32"/>
      <c r="AB72" s="32"/>
      <c r="AC72" s="137"/>
      <c r="AD72" s="32"/>
      <c r="AE72" s="32"/>
      <c r="AF72" s="31"/>
      <c r="AG72" s="32"/>
      <c r="AH72" s="32"/>
      <c r="AI72" s="137"/>
      <c r="AJ72" s="32"/>
      <c r="AK72" s="32"/>
      <c r="AL72" s="31"/>
      <c r="AM72" s="32"/>
      <c r="AN72" s="32"/>
      <c r="AO72" s="137"/>
      <c r="AP72" s="32"/>
      <c r="AQ72" s="32"/>
      <c r="AR72" s="31"/>
      <c r="AS72" s="32"/>
      <c r="AT72" s="32"/>
      <c r="AU72" s="137"/>
      <c r="AV72" s="32"/>
      <c r="AW72" s="32"/>
      <c r="AX72" s="31"/>
      <c r="AY72" s="32"/>
      <c r="AZ72" s="32"/>
      <c r="BA72" s="137"/>
      <c r="BB72" s="32"/>
      <c r="BC72" s="32"/>
      <c r="BD72" s="31"/>
      <c r="BE72" s="32"/>
      <c r="BF72" s="32"/>
      <c r="BG72" s="137">
        <v>0.23</v>
      </c>
      <c r="BH72" s="32">
        <f>BG72</f>
        <v>0.23</v>
      </c>
      <c r="BI72" s="32"/>
      <c r="BJ72" s="31"/>
      <c r="BK72" s="32"/>
      <c r="BL72" s="32"/>
      <c r="BM72" s="137">
        <v>0.23</v>
      </c>
      <c r="BN72" s="32"/>
      <c r="BO72" s="32"/>
      <c r="BP72" s="31"/>
      <c r="BQ72" s="32"/>
      <c r="BR72" s="32"/>
      <c r="BS72" s="137">
        <v>0.23</v>
      </c>
      <c r="BT72" s="32"/>
      <c r="BU72" s="32"/>
      <c r="BV72" s="31"/>
      <c r="BW72" s="32"/>
      <c r="BX72" s="32"/>
      <c r="BY72" s="137"/>
      <c r="BZ72" s="32"/>
      <c r="CA72" s="32"/>
      <c r="CB72" s="31"/>
      <c r="CC72" s="32"/>
      <c r="CD72" s="32"/>
      <c r="CE72" s="137"/>
      <c r="CF72" s="32"/>
      <c r="CG72" s="32"/>
      <c r="CH72" s="31"/>
      <c r="CI72" s="32"/>
      <c r="CJ72" s="32"/>
      <c r="CK72" s="137"/>
      <c r="CL72" s="32"/>
      <c r="CM72" s="32"/>
      <c r="CN72" s="31"/>
      <c r="CO72" s="32"/>
      <c r="CP72" s="32"/>
      <c r="CQ72" s="137"/>
      <c r="CR72" s="32"/>
      <c r="CS72" s="32"/>
      <c r="CT72" s="31"/>
      <c r="CU72" s="32"/>
      <c r="CV72" s="32"/>
      <c r="CW72" s="137"/>
      <c r="CX72" s="32"/>
      <c r="CY72" s="32"/>
      <c r="CZ72" s="31"/>
      <c r="DA72" s="32"/>
      <c r="DB72" s="32"/>
      <c r="DC72" s="137">
        <v>0.23</v>
      </c>
      <c r="DD72" s="32"/>
      <c r="DE72" s="32"/>
      <c r="DF72" s="31"/>
      <c r="DG72" s="32"/>
      <c r="DH72" s="32"/>
      <c r="DI72" s="137">
        <v>0.23</v>
      </c>
      <c r="DJ72" s="32"/>
      <c r="DK72" s="32"/>
      <c r="DL72" s="31"/>
      <c r="DM72" s="32"/>
      <c r="DN72" s="32"/>
      <c r="DO72" s="137"/>
      <c r="DP72" s="32"/>
      <c r="DQ72" s="32"/>
      <c r="DR72" s="31"/>
      <c r="DS72" s="32"/>
      <c r="DT72" s="32"/>
      <c r="DU72" s="137"/>
      <c r="DV72" s="32"/>
      <c r="DW72" s="32"/>
      <c r="DX72" s="31"/>
      <c r="DY72" s="32"/>
      <c r="DZ72" s="32"/>
      <c r="EA72" s="137"/>
      <c r="EB72" s="32"/>
      <c r="EC72" s="32"/>
      <c r="ED72" s="31"/>
      <c r="EE72" s="32"/>
      <c r="EF72" s="32"/>
      <c r="EG72" s="137"/>
      <c r="EH72" s="32"/>
      <c r="EI72" s="32"/>
      <c r="EJ72" s="31"/>
      <c r="EK72" s="32"/>
      <c r="EL72" s="32"/>
      <c r="EM72" s="137">
        <v>2.2999999999999998</v>
      </c>
      <c r="EN72" s="32"/>
      <c r="EO72" s="32"/>
      <c r="EP72" s="31"/>
      <c r="EQ72" s="32"/>
      <c r="ER72" s="32"/>
      <c r="ES72" s="137"/>
      <c r="ET72" s="32"/>
      <c r="EU72" s="32"/>
      <c r="EV72" s="31"/>
      <c r="EW72" s="32"/>
      <c r="EX72" s="32"/>
      <c r="EY72" s="137"/>
      <c r="EZ72" s="32"/>
      <c r="FA72" s="32"/>
      <c r="FB72" s="31"/>
      <c r="FC72" s="32"/>
      <c r="FD72" s="32"/>
      <c r="FE72" s="137"/>
      <c r="FF72" s="32"/>
      <c r="FG72" s="32"/>
      <c r="FH72" s="31"/>
      <c r="FI72" s="32"/>
      <c r="FJ72" s="32"/>
      <c r="FK72" s="137"/>
      <c r="FL72" s="32"/>
      <c r="FM72" s="32"/>
      <c r="FN72" s="31"/>
      <c r="FO72" s="32"/>
      <c r="FP72" s="32"/>
      <c r="FQ72" s="137">
        <v>0.23</v>
      </c>
      <c r="FR72" s="32"/>
      <c r="FS72" s="32"/>
      <c r="FT72" s="31"/>
      <c r="FU72" s="32"/>
      <c r="FV72" s="32"/>
      <c r="FW72" s="137">
        <v>0.23</v>
      </c>
      <c r="FX72" s="32"/>
      <c r="FY72" s="32"/>
      <c r="FZ72" s="31"/>
      <c r="GA72" s="32"/>
      <c r="GB72" s="32"/>
      <c r="GC72" s="137"/>
      <c r="GD72" s="32"/>
      <c r="GE72" s="32"/>
      <c r="GF72" s="31"/>
      <c r="GG72" s="32"/>
      <c r="GH72" s="32"/>
      <c r="GI72" s="137"/>
      <c r="GJ72" s="32"/>
      <c r="GK72" s="32"/>
      <c r="GL72" s="31"/>
      <c r="GM72" s="32"/>
      <c r="GN72" s="32"/>
      <c r="GO72" s="137"/>
      <c r="GP72" s="32"/>
      <c r="GQ72" s="32"/>
      <c r="GR72" s="31"/>
      <c r="GS72" s="32"/>
      <c r="GT72" s="32"/>
      <c r="GU72" s="137"/>
      <c r="GV72" s="32"/>
      <c r="GW72" s="32"/>
      <c r="GX72" s="31"/>
      <c r="GY72" s="32"/>
      <c r="GZ72" s="32"/>
      <c r="HA72" s="137">
        <v>0.23</v>
      </c>
      <c r="HB72" s="32"/>
      <c r="HC72" s="32"/>
      <c r="HD72" s="31"/>
      <c r="HE72" s="32"/>
      <c r="HF72" s="32"/>
      <c r="HG72" s="137">
        <v>0.23</v>
      </c>
      <c r="HH72" s="32"/>
      <c r="HI72" s="32"/>
      <c r="HJ72" s="31"/>
      <c r="HK72" s="32"/>
      <c r="HL72" s="32"/>
      <c r="HM72" s="137"/>
      <c r="HN72" s="32"/>
      <c r="HO72" s="32"/>
      <c r="HP72" s="31"/>
      <c r="HQ72" s="32"/>
      <c r="HR72" s="32"/>
      <c r="HS72" s="137"/>
      <c r="HT72" s="32"/>
      <c r="HU72" s="32"/>
      <c r="HV72" s="31"/>
      <c r="HW72" s="32"/>
      <c r="HX72" s="32"/>
      <c r="HY72" s="137"/>
      <c r="HZ72" s="32"/>
      <c r="IA72" s="32"/>
      <c r="IB72" s="31"/>
      <c r="IC72" s="32"/>
      <c r="ID72" s="32"/>
      <c r="IE72" s="137"/>
      <c r="IF72" s="32"/>
      <c r="IG72" s="32"/>
      <c r="IH72" s="31"/>
      <c r="II72" s="32"/>
      <c r="IJ72" s="32"/>
      <c r="IK72" s="137"/>
      <c r="IL72" s="32"/>
      <c r="IM72" s="32"/>
      <c r="IN72" s="31"/>
      <c r="IO72" s="32"/>
      <c r="IP72" s="32"/>
      <c r="IQ72" s="137"/>
      <c r="IR72" s="32"/>
      <c r="IS72" s="32"/>
      <c r="IT72" s="31"/>
      <c r="IU72" s="32"/>
      <c r="IV72" s="32"/>
      <c r="IW72" s="137"/>
      <c r="IX72" s="32"/>
      <c r="IY72" s="32"/>
      <c r="IZ72" s="31"/>
      <c r="JA72" s="32"/>
      <c r="JB72" s="32"/>
      <c r="JC72" s="137">
        <v>0.23</v>
      </c>
      <c r="JD72" s="32"/>
      <c r="JE72" s="32"/>
      <c r="JF72" s="31"/>
      <c r="JG72" s="32"/>
      <c r="JH72" s="32"/>
      <c r="JI72" s="137">
        <v>0.23</v>
      </c>
      <c r="JJ72" s="32"/>
      <c r="JK72" s="32"/>
      <c r="JL72" s="31"/>
      <c r="JM72" s="32"/>
      <c r="JN72" s="32"/>
      <c r="JO72" s="137"/>
      <c r="JP72" s="32"/>
      <c r="JQ72" s="32"/>
      <c r="JR72" s="31"/>
      <c r="JS72" s="32"/>
      <c r="JT72" s="32"/>
      <c r="JU72" s="137">
        <v>0.23</v>
      </c>
      <c r="JV72" s="32">
        <v>0.23</v>
      </c>
      <c r="JW72" s="32"/>
      <c r="JX72" s="31"/>
      <c r="JY72" s="32"/>
      <c r="JZ72" s="32"/>
      <c r="KA72" s="137">
        <v>0.23</v>
      </c>
      <c r="KB72" s="32">
        <v>0.23</v>
      </c>
      <c r="KC72" s="32"/>
      <c r="KD72" s="31"/>
      <c r="KE72" s="32"/>
      <c r="KF72" s="32"/>
      <c r="KG72" s="137"/>
      <c r="KH72" s="32"/>
      <c r="KI72" s="32"/>
      <c r="KJ72" s="31"/>
      <c r="KK72" s="32"/>
      <c r="KL72" s="32"/>
      <c r="KM72" s="137"/>
      <c r="KN72" s="32"/>
      <c r="KO72" s="32"/>
      <c r="KP72" s="31"/>
      <c r="KQ72" s="32"/>
      <c r="KR72" s="32"/>
      <c r="KS72" s="137"/>
      <c r="KT72" s="32"/>
      <c r="KU72" s="32"/>
      <c r="KV72" s="31"/>
      <c r="KW72" s="32"/>
      <c r="KX72" s="32"/>
      <c r="KY72" s="137"/>
      <c r="KZ72" s="32"/>
      <c r="LA72" s="32"/>
      <c r="LB72" s="31"/>
      <c r="LC72" s="32"/>
      <c r="LD72" s="32"/>
      <c r="LE72" s="137"/>
      <c r="LF72" s="32"/>
      <c r="LG72" s="32"/>
      <c r="LH72" s="31"/>
      <c r="LI72" s="32"/>
      <c r="LJ72" s="32"/>
      <c r="LK72" s="137"/>
      <c r="LL72" s="32"/>
      <c r="LM72" s="32"/>
      <c r="LN72" s="31"/>
      <c r="LO72" s="32"/>
      <c r="LP72" s="32"/>
      <c r="LQ72" s="137"/>
      <c r="LR72" s="32"/>
      <c r="LS72" s="32"/>
      <c r="LT72" s="31"/>
      <c r="LU72" s="32"/>
      <c r="LV72" s="32"/>
      <c r="LW72" s="137"/>
      <c r="LX72" s="32"/>
      <c r="LY72" s="32"/>
      <c r="LZ72" s="31"/>
      <c r="MA72" s="32"/>
      <c r="MB72" s="32"/>
      <c r="MC72" s="137"/>
      <c r="MD72" s="32"/>
      <c r="ME72" s="32"/>
      <c r="MF72" s="31"/>
      <c r="MG72" s="32"/>
      <c r="MH72" s="32"/>
      <c r="MI72" s="137"/>
      <c r="MJ72" s="32"/>
      <c r="MK72" s="32"/>
      <c r="ML72" s="31"/>
      <c r="MM72" s="32"/>
      <c r="MN72" s="32"/>
      <c r="MO72" s="137"/>
      <c r="MP72" s="32"/>
      <c r="MQ72" s="32"/>
      <c r="MR72" s="31"/>
      <c r="MS72" s="32"/>
      <c r="MT72" s="32"/>
      <c r="MU72" s="137"/>
      <c r="MV72" s="32"/>
      <c r="MW72" s="32"/>
      <c r="MX72" s="31"/>
      <c r="MY72" s="32"/>
      <c r="MZ72" s="32"/>
      <c r="NA72" s="137"/>
      <c r="NB72" s="32"/>
      <c r="NC72" s="32"/>
      <c r="ND72" s="31"/>
      <c r="NE72" s="32"/>
      <c r="NF72" s="32"/>
      <c r="NG72" s="137"/>
      <c r="NH72" s="32"/>
      <c r="NI72" s="32"/>
      <c r="NJ72" s="31"/>
    </row>
    <row r="73" spans="1:374" s="7" customFormat="1" x14ac:dyDescent="0.45">
      <c r="A73" s="274"/>
      <c r="B73" s="7" t="s">
        <v>431</v>
      </c>
      <c r="C73" s="32"/>
      <c r="D73" s="32"/>
      <c r="E73" s="137">
        <v>300</v>
      </c>
      <c r="F73" s="32">
        <f>E73/60</f>
        <v>5</v>
      </c>
      <c r="G73" s="32"/>
      <c r="H73" s="31"/>
      <c r="I73" s="32"/>
      <c r="J73" s="32"/>
      <c r="K73" s="137">
        <v>9</v>
      </c>
      <c r="L73" s="32"/>
      <c r="M73" s="32"/>
      <c r="N73" s="31"/>
      <c r="O73" s="32"/>
      <c r="P73" s="32"/>
      <c r="Q73" s="137">
        <v>9</v>
      </c>
      <c r="R73" s="32"/>
      <c r="S73" s="32"/>
      <c r="T73" s="31"/>
      <c r="U73" s="32"/>
      <c r="V73" s="32"/>
      <c r="W73" s="137">
        <v>24</v>
      </c>
      <c r="X73" s="32"/>
      <c r="Y73" s="32"/>
      <c r="Z73" s="31"/>
      <c r="AA73" s="32"/>
      <c r="AB73" s="32"/>
      <c r="AC73" s="137">
        <v>300</v>
      </c>
      <c r="AD73" s="32"/>
      <c r="AE73" s="32"/>
      <c r="AF73" s="31"/>
      <c r="AG73" s="32"/>
      <c r="AH73" s="32"/>
      <c r="AI73" s="137">
        <v>300</v>
      </c>
      <c r="AJ73" s="32"/>
      <c r="AK73" s="32"/>
      <c r="AL73" s="31"/>
      <c r="AM73" s="32"/>
      <c r="AN73" s="32"/>
      <c r="AO73" s="137">
        <v>300</v>
      </c>
      <c r="AP73" s="32"/>
      <c r="AQ73" s="32"/>
      <c r="AR73" s="31"/>
      <c r="AS73" s="32"/>
      <c r="AT73" s="32"/>
      <c r="AU73" s="137">
        <v>9</v>
      </c>
      <c r="AV73" s="32"/>
      <c r="AW73" s="32"/>
      <c r="AX73" s="31"/>
      <c r="AY73" s="32"/>
      <c r="AZ73" s="32"/>
      <c r="BA73" s="137">
        <v>9</v>
      </c>
      <c r="BB73" s="32"/>
      <c r="BC73" s="32"/>
      <c r="BD73" s="31"/>
      <c r="BE73" s="32"/>
      <c r="BF73" s="32"/>
      <c r="BG73" s="137">
        <v>6</v>
      </c>
      <c r="BH73" s="32"/>
      <c r="BI73" s="32"/>
      <c r="BJ73" s="31"/>
      <c r="BK73" s="32"/>
      <c r="BL73" s="32"/>
      <c r="BM73" s="137">
        <v>6</v>
      </c>
      <c r="BN73" s="32"/>
      <c r="BO73" s="32"/>
      <c r="BP73" s="31"/>
      <c r="BQ73" s="32"/>
      <c r="BR73" s="32"/>
      <c r="BS73" s="137">
        <v>6</v>
      </c>
      <c r="BT73" s="32"/>
      <c r="BU73" s="32"/>
      <c r="BV73" s="31"/>
      <c r="BW73" s="32"/>
      <c r="BX73" s="32"/>
      <c r="BY73" s="137">
        <v>9</v>
      </c>
      <c r="BZ73" s="32"/>
      <c r="CA73" s="32"/>
      <c r="CB73" s="31"/>
      <c r="CC73" s="32"/>
      <c r="CD73" s="32"/>
      <c r="CE73" s="137">
        <v>300</v>
      </c>
      <c r="CF73" s="32">
        <f>CE73/60</f>
        <v>5</v>
      </c>
      <c r="CG73" s="32">
        <f>CE73/60</f>
        <v>5</v>
      </c>
      <c r="CH73" s="31"/>
      <c r="CI73" s="32"/>
      <c r="CJ73" s="32"/>
      <c r="CK73" s="137">
        <v>9</v>
      </c>
      <c r="CL73" s="32"/>
      <c r="CM73" s="32"/>
      <c r="CN73" s="31"/>
      <c r="CO73" s="32"/>
      <c r="CP73" s="32"/>
      <c r="CQ73" s="137">
        <v>5</v>
      </c>
      <c r="CR73" s="32"/>
      <c r="CS73" s="32"/>
      <c r="CT73" s="31"/>
      <c r="CU73" s="32"/>
      <c r="CV73" s="32"/>
      <c r="CW73" s="137">
        <v>5</v>
      </c>
      <c r="CX73" s="32"/>
      <c r="CY73" s="32"/>
      <c r="CZ73" s="31"/>
      <c r="DA73" s="32"/>
      <c r="DB73" s="32"/>
      <c r="DC73" s="137">
        <v>6</v>
      </c>
      <c r="DD73" s="32"/>
      <c r="DE73" s="32"/>
      <c r="DF73" s="31"/>
      <c r="DG73" s="32"/>
      <c r="DH73" s="32"/>
      <c r="DI73" s="137">
        <v>6</v>
      </c>
      <c r="DJ73" s="32"/>
      <c r="DK73" s="32"/>
      <c r="DL73" s="31"/>
      <c r="DM73" s="32"/>
      <c r="DN73" s="32"/>
      <c r="DO73" s="137">
        <v>20</v>
      </c>
      <c r="DP73" s="32"/>
      <c r="DQ73" s="32"/>
      <c r="DR73" s="31"/>
      <c r="DS73" s="32"/>
      <c r="DT73" s="32"/>
      <c r="DU73" s="137">
        <v>300</v>
      </c>
      <c r="DV73" s="32"/>
      <c r="DW73" s="32"/>
      <c r="DX73" s="31"/>
      <c r="DY73" s="32"/>
      <c r="DZ73" s="32"/>
      <c r="EA73" s="137">
        <v>6</v>
      </c>
      <c r="EB73" s="32"/>
      <c r="EC73" s="32"/>
      <c r="ED73" s="31"/>
      <c r="EE73" s="32"/>
      <c r="EF73" s="32"/>
      <c r="EG73" s="137">
        <v>6</v>
      </c>
      <c r="EH73" s="32"/>
      <c r="EI73" s="32"/>
      <c r="EJ73" s="31"/>
      <c r="EK73" s="32"/>
      <c r="EL73" s="32"/>
      <c r="EM73" s="137">
        <v>6</v>
      </c>
      <c r="EN73" s="32"/>
      <c r="EO73" s="32"/>
      <c r="EP73" s="31"/>
      <c r="EQ73" s="32"/>
      <c r="ER73" s="32"/>
      <c r="ES73" s="137">
        <v>9</v>
      </c>
      <c r="ET73" s="32"/>
      <c r="EU73" s="32"/>
      <c r="EV73" s="31"/>
      <c r="EW73" s="32"/>
      <c r="EX73" s="32"/>
      <c r="EY73" s="137">
        <v>9</v>
      </c>
      <c r="EZ73" s="32"/>
      <c r="FA73" s="32"/>
      <c r="FB73" s="31"/>
      <c r="FC73" s="32"/>
      <c r="FD73" s="32"/>
      <c r="FE73" s="137">
        <v>60</v>
      </c>
      <c r="FF73" s="32"/>
      <c r="FG73" s="32"/>
      <c r="FH73" s="31"/>
      <c r="FI73" s="32"/>
      <c r="FJ73" s="32"/>
      <c r="FK73" s="137">
        <v>60</v>
      </c>
      <c r="FL73" s="32"/>
      <c r="FM73" s="32"/>
      <c r="FN73" s="31"/>
      <c r="FO73" s="32"/>
      <c r="FP73" s="32"/>
      <c r="FQ73" s="137">
        <v>6</v>
      </c>
      <c r="FR73" s="32"/>
      <c r="FS73" s="32"/>
      <c r="FT73" s="31"/>
      <c r="FU73" s="32"/>
      <c r="FV73" s="32"/>
      <c r="FW73" s="137">
        <v>6</v>
      </c>
      <c r="FX73" s="32"/>
      <c r="FY73" s="32"/>
      <c r="FZ73" s="31"/>
      <c r="GA73" s="32"/>
      <c r="GB73" s="32"/>
      <c r="GC73" s="137">
        <v>60</v>
      </c>
      <c r="GD73" s="32"/>
      <c r="GE73" s="32"/>
      <c r="GF73" s="31"/>
      <c r="GG73" s="32"/>
      <c r="GH73" s="32"/>
      <c r="GI73" s="137">
        <v>6</v>
      </c>
      <c r="GJ73" s="32"/>
      <c r="GK73" s="32"/>
      <c r="GL73" s="31"/>
      <c r="GM73" s="32"/>
      <c r="GN73" s="32"/>
      <c r="GO73" s="137">
        <v>6</v>
      </c>
      <c r="GP73" s="32"/>
      <c r="GQ73" s="32"/>
      <c r="GR73" s="31"/>
      <c r="GS73" s="32"/>
      <c r="GT73" s="32"/>
      <c r="GU73" s="137"/>
      <c r="GV73" s="32"/>
      <c r="GW73" s="32"/>
      <c r="GX73" s="31"/>
      <c r="GY73" s="32"/>
      <c r="GZ73" s="32"/>
      <c r="HA73" s="137">
        <v>6</v>
      </c>
      <c r="HB73" s="32">
        <v>1</v>
      </c>
      <c r="HC73" s="32"/>
      <c r="HD73" s="31"/>
      <c r="HE73" s="32"/>
      <c r="HF73" s="32"/>
      <c r="HG73" s="137">
        <v>6</v>
      </c>
      <c r="HH73" s="32"/>
      <c r="HI73" s="32"/>
      <c r="HJ73" s="31"/>
      <c r="HK73" s="32"/>
      <c r="HL73" s="32"/>
      <c r="HM73" s="137">
        <v>300</v>
      </c>
      <c r="HN73" s="32"/>
      <c r="HO73" s="32"/>
      <c r="HP73" s="31"/>
      <c r="HQ73" s="32"/>
      <c r="HR73" s="32"/>
      <c r="HS73" s="137">
        <v>300</v>
      </c>
      <c r="HT73" s="32"/>
      <c r="HU73" s="32"/>
      <c r="HV73" s="31"/>
      <c r="HW73" s="32"/>
      <c r="HX73" s="32"/>
      <c r="HY73" s="137">
        <v>60</v>
      </c>
      <c r="HZ73" s="32"/>
      <c r="IA73" s="32"/>
      <c r="IB73" s="31"/>
      <c r="IC73" s="32"/>
      <c r="ID73" s="32"/>
      <c r="IE73" s="137">
        <v>60</v>
      </c>
      <c r="IF73" s="32"/>
      <c r="IG73" s="32"/>
      <c r="IH73" s="31"/>
      <c r="II73" s="32"/>
      <c r="IJ73" s="32"/>
      <c r="IK73" s="137">
        <v>120</v>
      </c>
      <c r="IL73" s="32"/>
      <c r="IM73" s="32"/>
      <c r="IN73" s="31"/>
      <c r="IO73" s="32"/>
      <c r="IP73" s="32"/>
      <c r="IQ73" s="137">
        <v>60</v>
      </c>
      <c r="IR73" s="32"/>
      <c r="IS73" s="32"/>
      <c r="IT73" s="31"/>
      <c r="IU73" s="32"/>
      <c r="IV73" s="32"/>
      <c r="IW73" s="137">
        <v>60</v>
      </c>
      <c r="IX73" s="32"/>
      <c r="IY73" s="32"/>
      <c r="IZ73" s="31"/>
      <c r="JA73" s="32"/>
      <c r="JB73" s="32"/>
      <c r="JC73" s="137">
        <v>6</v>
      </c>
      <c r="JD73" s="32"/>
      <c r="JE73" s="32"/>
      <c r="JF73" s="31"/>
      <c r="JG73" s="32"/>
      <c r="JH73" s="32"/>
      <c r="JI73" s="137">
        <v>6</v>
      </c>
      <c r="JJ73" s="32"/>
      <c r="JK73" s="32"/>
      <c r="JL73" s="31"/>
      <c r="JM73" s="32"/>
      <c r="JN73" s="32"/>
      <c r="JO73" s="137">
        <v>9</v>
      </c>
      <c r="JP73" s="32"/>
      <c r="JQ73" s="32"/>
      <c r="JR73" s="31"/>
      <c r="JS73" s="32"/>
      <c r="JT73" s="32"/>
      <c r="JU73" s="137">
        <v>6</v>
      </c>
      <c r="JV73" s="32"/>
      <c r="JW73" s="32"/>
      <c r="JX73" s="31"/>
      <c r="JY73" s="32"/>
      <c r="JZ73" s="32"/>
      <c r="KA73" s="137">
        <v>6</v>
      </c>
      <c r="KB73" s="32"/>
      <c r="KC73" s="32"/>
      <c r="KD73" s="31"/>
      <c r="KE73" s="32"/>
      <c r="KF73" s="32"/>
      <c r="KG73" s="137">
        <v>9</v>
      </c>
      <c r="KH73" s="32"/>
      <c r="KI73" s="32"/>
      <c r="KJ73" s="31"/>
      <c r="KK73" s="32"/>
      <c r="KL73" s="32"/>
      <c r="KM73" s="137"/>
      <c r="KN73" s="32"/>
      <c r="KO73" s="32"/>
      <c r="KP73" s="31"/>
      <c r="KQ73" s="32"/>
      <c r="KR73" s="32"/>
      <c r="KS73" s="137"/>
      <c r="KT73" s="32"/>
      <c r="KU73" s="32"/>
      <c r="KV73" s="31"/>
      <c r="KW73" s="32"/>
      <c r="KX73" s="32"/>
      <c r="KY73" s="137">
        <v>300</v>
      </c>
      <c r="KZ73" s="32">
        <f>KY73/60</f>
        <v>5</v>
      </c>
      <c r="LA73" s="32"/>
      <c r="LB73" s="31"/>
      <c r="LC73" s="32"/>
      <c r="LD73" s="32"/>
      <c r="LE73" s="137">
        <v>120</v>
      </c>
      <c r="LF73" s="32"/>
      <c r="LG73" s="32"/>
      <c r="LH73" s="31"/>
      <c r="LI73" s="32"/>
      <c r="LJ73" s="32"/>
      <c r="LK73" s="137"/>
      <c r="LL73" s="32"/>
      <c r="LM73" s="32"/>
      <c r="LN73" s="31"/>
      <c r="LO73" s="32"/>
      <c r="LP73" s="32"/>
      <c r="LQ73" s="137">
        <v>6</v>
      </c>
      <c r="LR73" s="32"/>
      <c r="LS73" s="32"/>
      <c r="LT73" s="31"/>
      <c r="LU73" s="32"/>
      <c r="LV73" s="32"/>
      <c r="LW73" s="137">
        <v>6</v>
      </c>
      <c r="LX73" s="32"/>
      <c r="LY73" s="32"/>
      <c r="LZ73" s="31"/>
      <c r="MA73" s="32"/>
      <c r="MB73" s="32"/>
      <c r="MC73" s="137">
        <v>6</v>
      </c>
      <c r="MD73" s="32"/>
      <c r="ME73" s="32"/>
      <c r="MF73" s="31"/>
      <c r="MG73" s="32"/>
      <c r="MH73" s="32"/>
      <c r="MI73" s="137"/>
      <c r="MJ73" s="32"/>
      <c r="MK73" s="32"/>
      <c r="ML73" s="31"/>
      <c r="MM73" s="32"/>
      <c r="MN73" s="32"/>
      <c r="MO73" s="137"/>
      <c r="MP73" s="32"/>
      <c r="MQ73" s="32"/>
      <c r="MR73" s="31"/>
      <c r="MS73" s="32"/>
      <c r="MT73" s="32"/>
      <c r="MU73" s="137">
        <v>6</v>
      </c>
      <c r="MV73" s="32"/>
      <c r="MW73" s="32"/>
      <c r="MX73" s="31"/>
      <c r="MY73" s="32"/>
      <c r="MZ73" s="32"/>
      <c r="NA73" s="137"/>
      <c r="NB73" s="32"/>
      <c r="NC73" s="32"/>
      <c r="ND73" s="31"/>
      <c r="NE73" s="32"/>
      <c r="NF73" s="32"/>
      <c r="NG73" s="137"/>
      <c r="NH73" s="32"/>
      <c r="NI73" s="32"/>
      <c r="NJ73" s="31"/>
    </row>
    <row r="74" spans="1:374" s="7" customFormat="1" x14ac:dyDescent="0.45">
      <c r="A74" s="274"/>
      <c r="B74" s="7" t="s">
        <v>432</v>
      </c>
      <c r="C74" s="32"/>
      <c r="D74" s="32"/>
      <c r="E74" s="188">
        <v>2.5</v>
      </c>
      <c r="F74" s="189">
        <f>E74</f>
        <v>2.5</v>
      </c>
      <c r="G74" s="189"/>
      <c r="H74" s="190"/>
      <c r="I74" s="32"/>
      <c r="J74" s="32"/>
      <c r="K74" s="188">
        <v>2</v>
      </c>
      <c r="L74" s="189"/>
      <c r="M74" s="189"/>
      <c r="N74" s="190"/>
      <c r="O74" s="32"/>
      <c r="P74" s="32"/>
      <c r="Q74" s="188">
        <v>2</v>
      </c>
      <c r="R74" s="189"/>
      <c r="S74" s="189"/>
      <c r="T74" s="190"/>
      <c r="U74" s="32"/>
      <c r="V74" s="32"/>
      <c r="W74" s="188">
        <v>2</v>
      </c>
      <c r="X74" s="189"/>
      <c r="Y74" s="189"/>
      <c r="Z74" s="190"/>
      <c r="AA74" s="32"/>
      <c r="AB74" s="32"/>
      <c r="AC74" s="188">
        <v>2.5</v>
      </c>
      <c r="AD74" s="189"/>
      <c r="AE74" s="189"/>
      <c r="AF74" s="190"/>
      <c r="AG74" s="32"/>
      <c r="AH74" s="32"/>
      <c r="AI74" s="188">
        <v>2.5</v>
      </c>
      <c r="AJ74" s="189"/>
      <c r="AK74" s="189"/>
      <c r="AL74" s="190"/>
      <c r="AM74" s="32"/>
      <c r="AN74" s="32"/>
      <c r="AO74" s="188">
        <v>2.5</v>
      </c>
      <c r="AP74" s="189"/>
      <c r="AQ74" s="189"/>
      <c r="AR74" s="190"/>
      <c r="AS74" s="32"/>
      <c r="AT74" s="32"/>
      <c r="AU74" s="188">
        <v>1.5</v>
      </c>
      <c r="AV74" s="189"/>
      <c r="AW74" s="189"/>
      <c r="AX74" s="190"/>
      <c r="AY74" s="32"/>
      <c r="AZ74" s="32"/>
      <c r="BA74" s="188">
        <v>1.5</v>
      </c>
      <c r="BB74" s="189"/>
      <c r="BC74" s="189"/>
      <c r="BD74" s="190"/>
      <c r="BE74" s="32"/>
      <c r="BF74" s="32"/>
      <c r="BG74" s="188">
        <v>2</v>
      </c>
      <c r="BH74" s="189"/>
      <c r="BI74" s="189"/>
      <c r="BJ74" s="190"/>
      <c r="BK74" s="32"/>
      <c r="BL74" s="32"/>
      <c r="BM74" s="188">
        <v>2</v>
      </c>
      <c r="BN74" s="189"/>
      <c r="BO74" s="189"/>
      <c r="BP74" s="190"/>
      <c r="BQ74" s="32"/>
      <c r="BR74" s="32"/>
      <c r="BS74" s="188">
        <v>2</v>
      </c>
      <c r="BT74" s="189"/>
      <c r="BU74" s="189"/>
      <c r="BV74" s="190"/>
      <c r="BW74" s="32"/>
      <c r="BX74" s="32"/>
      <c r="BY74" s="188">
        <v>1.86</v>
      </c>
      <c r="BZ74" s="189"/>
      <c r="CA74" s="189"/>
      <c r="CB74" s="190"/>
      <c r="CC74" s="32"/>
      <c r="CD74" s="32"/>
      <c r="CE74" s="188">
        <v>3</v>
      </c>
      <c r="CF74" s="189">
        <f>CE74</f>
        <v>3</v>
      </c>
      <c r="CG74" s="189">
        <f>CE74</f>
        <v>3</v>
      </c>
      <c r="CH74" s="190"/>
      <c r="CI74" s="32"/>
      <c r="CJ74" s="32"/>
      <c r="CK74" s="188">
        <v>1.5</v>
      </c>
      <c r="CL74" s="189"/>
      <c r="CM74" s="189"/>
      <c r="CN74" s="190"/>
      <c r="CO74" s="32"/>
      <c r="CP74" s="32"/>
      <c r="CQ74" s="188">
        <v>2</v>
      </c>
      <c r="CR74" s="189"/>
      <c r="CS74" s="189"/>
      <c r="CT74" s="190"/>
      <c r="CU74" s="32"/>
      <c r="CV74" s="32"/>
      <c r="CW74" s="188">
        <v>2</v>
      </c>
      <c r="CX74" s="189"/>
      <c r="CY74" s="189"/>
      <c r="CZ74" s="190"/>
      <c r="DA74" s="32"/>
      <c r="DB74" s="32"/>
      <c r="DC74" s="188">
        <v>2</v>
      </c>
      <c r="DD74" s="189"/>
      <c r="DE74" s="189"/>
      <c r="DF74" s="190"/>
      <c r="DG74" s="32"/>
      <c r="DH74" s="32"/>
      <c r="DI74" s="188">
        <v>2</v>
      </c>
      <c r="DJ74" s="189"/>
      <c r="DK74" s="189"/>
      <c r="DL74" s="190"/>
      <c r="DM74" s="32"/>
      <c r="DN74" s="32"/>
      <c r="DO74" s="188">
        <v>2.2999999999999998</v>
      </c>
      <c r="DP74" s="189"/>
      <c r="DQ74" s="189"/>
      <c r="DR74" s="190"/>
      <c r="DS74" s="32"/>
      <c r="DT74" s="32"/>
      <c r="DU74" s="188">
        <v>2.2999999999999998</v>
      </c>
      <c r="DV74" s="189"/>
      <c r="DW74" s="189"/>
      <c r="DX74" s="190"/>
      <c r="DY74" s="32"/>
      <c r="DZ74" s="32"/>
      <c r="EA74" s="188">
        <v>2</v>
      </c>
      <c r="EB74" s="189"/>
      <c r="EC74" s="189"/>
      <c r="ED74" s="190"/>
      <c r="EE74" s="32"/>
      <c r="EF74" s="32"/>
      <c r="EG74" s="188">
        <v>2</v>
      </c>
      <c r="EH74" s="189"/>
      <c r="EI74" s="189"/>
      <c r="EJ74" s="190"/>
      <c r="EK74" s="32"/>
      <c r="EL74" s="32"/>
      <c r="EM74" s="188">
        <v>2</v>
      </c>
      <c r="EN74" s="189"/>
      <c r="EO74" s="189"/>
      <c r="EP74" s="190"/>
      <c r="EQ74" s="32"/>
      <c r="ER74" s="32"/>
      <c r="ES74" s="188">
        <v>2</v>
      </c>
      <c r="ET74" s="189"/>
      <c r="EU74" s="189"/>
      <c r="EV74" s="190"/>
      <c r="EW74" s="32"/>
      <c r="EX74" s="32"/>
      <c r="EY74" s="188">
        <v>2</v>
      </c>
      <c r="EZ74" s="189"/>
      <c r="FA74" s="189"/>
      <c r="FB74" s="190"/>
      <c r="FC74" s="32"/>
      <c r="FD74" s="32"/>
      <c r="FE74" s="188">
        <v>1.67</v>
      </c>
      <c r="FF74" s="189"/>
      <c r="FG74" s="189"/>
      <c r="FH74" s="190"/>
      <c r="FI74" s="32"/>
      <c r="FJ74" s="32"/>
      <c r="FK74" s="188">
        <v>1.2</v>
      </c>
      <c r="FL74" s="189"/>
      <c r="FM74" s="189"/>
      <c r="FN74" s="190"/>
      <c r="FO74" s="32"/>
      <c r="FP74" s="32"/>
      <c r="FQ74" s="188">
        <v>2.33</v>
      </c>
      <c r="FR74" s="189"/>
      <c r="FS74" s="189"/>
      <c r="FT74" s="190"/>
      <c r="FU74" s="32"/>
      <c r="FV74" s="32"/>
      <c r="FW74" s="188">
        <v>2.33</v>
      </c>
      <c r="FX74" s="189"/>
      <c r="FY74" s="189"/>
      <c r="FZ74" s="190"/>
      <c r="GA74" s="32"/>
      <c r="GB74" s="32"/>
      <c r="GC74" s="188">
        <v>1</v>
      </c>
      <c r="GD74" s="189"/>
      <c r="GE74" s="189"/>
      <c r="GF74" s="190"/>
      <c r="GG74" s="32"/>
      <c r="GH74" s="32"/>
      <c r="GI74" s="188">
        <v>2</v>
      </c>
      <c r="GJ74" s="189"/>
      <c r="GK74" s="189"/>
      <c r="GL74" s="190"/>
      <c r="GM74" s="32"/>
      <c r="GN74" s="32"/>
      <c r="GO74" s="188">
        <v>2</v>
      </c>
      <c r="GP74" s="189"/>
      <c r="GQ74" s="189"/>
      <c r="GR74" s="190"/>
      <c r="GS74" s="32"/>
      <c r="GT74" s="32"/>
      <c r="GU74" s="188"/>
      <c r="GV74" s="189"/>
      <c r="GW74" s="189"/>
      <c r="GX74" s="190"/>
      <c r="GY74" s="32"/>
      <c r="GZ74" s="32"/>
      <c r="HA74" s="188">
        <v>2</v>
      </c>
      <c r="HB74" s="189"/>
      <c r="HC74" s="189"/>
      <c r="HD74" s="190"/>
      <c r="HE74" s="32"/>
      <c r="HF74" s="32"/>
      <c r="HG74" s="188">
        <v>2</v>
      </c>
      <c r="HH74" s="189"/>
      <c r="HI74" s="189"/>
      <c r="HJ74" s="190"/>
      <c r="HK74" s="32"/>
      <c r="HL74" s="32"/>
      <c r="HM74" s="188">
        <v>2.5</v>
      </c>
      <c r="HN74" s="189"/>
      <c r="HO74" s="189"/>
      <c r="HP74" s="190"/>
      <c r="HQ74" s="32"/>
      <c r="HR74" s="32"/>
      <c r="HS74" s="188">
        <v>3</v>
      </c>
      <c r="HT74" s="189"/>
      <c r="HU74" s="189"/>
      <c r="HV74" s="190"/>
      <c r="HW74" s="32"/>
      <c r="HX74" s="32"/>
      <c r="HY74" s="188">
        <v>1</v>
      </c>
      <c r="HZ74" s="189"/>
      <c r="IA74" s="189"/>
      <c r="IB74" s="190"/>
      <c r="IC74" s="32"/>
      <c r="ID74" s="32"/>
      <c r="IE74" s="188">
        <v>1</v>
      </c>
      <c r="IF74" s="189"/>
      <c r="IG74" s="189"/>
      <c r="IH74" s="190"/>
      <c r="II74" s="32"/>
      <c r="IJ74" s="32"/>
      <c r="IK74" s="188">
        <v>1</v>
      </c>
      <c r="IL74" s="189"/>
      <c r="IM74" s="189"/>
      <c r="IN74" s="190"/>
      <c r="IO74" s="32"/>
      <c r="IP74" s="32"/>
      <c r="IQ74" s="188">
        <v>2</v>
      </c>
      <c r="IR74" s="189"/>
      <c r="IS74" s="189"/>
      <c r="IT74" s="190"/>
      <c r="IU74" s="32"/>
      <c r="IV74" s="32"/>
      <c r="IW74" s="188">
        <v>1</v>
      </c>
      <c r="IX74" s="189"/>
      <c r="IY74" s="189"/>
      <c r="IZ74" s="190"/>
      <c r="JA74" s="32"/>
      <c r="JB74" s="32"/>
      <c r="JC74" s="188">
        <v>2</v>
      </c>
      <c r="JD74" s="189"/>
      <c r="JE74" s="189"/>
      <c r="JF74" s="190"/>
      <c r="JG74" s="32"/>
      <c r="JH74" s="32"/>
      <c r="JI74" s="188">
        <v>2</v>
      </c>
      <c r="JJ74" s="189"/>
      <c r="JK74" s="189"/>
      <c r="JL74" s="190"/>
      <c r="JM74" s="32"/>
      <c r="JN74" s="32"/>
      <c r="JO74" s="188">
        <v>0.67</v>
      </c>
      <c r="JP74" s="189"/>
      <c r="JQ74" s="189"/>
      <c r="JR74" s="190"/>
      <c r="JS74" s="32"/>
      <c r="JT74" s="32"/>
      <c r="JU74" s="188">
        <v>2</v>
      </c>
      <c r="JV74" s="189"/>
      <c r="JW74" s="189"/>
      <c r="JX74" s="190"/>
      <c r="JY74" s="32"/>
      <c r="JZ74" s="32"/>
      <c r="KA74" s="188">
        <v>2</v>
      </c>
      <c r="KB74" s="189"/>
      <c r="KC74" s="189"/>
      <c r="KD74" s="190"/>
      <c r="KE74" s="32"/>
      <c r="KF74" s="32"/>
      <c r="KG74" s="188">
        <v>1</v>
      </c>
      <c r="KH74" s="189"/>
      <c r="KI74" s="189"/>
      <c r="KJ74" s="190"/>
      <c r="KK74" s="32"/>
      <c r="KL74" s="32"/>
      <c r="KM74" s="188"/>
      <c r="KN74" s="189"/>
      <c r="KO74" s="189"/>
      <c r="KP74" s="190"/>
      <c r="KQ74" s="32"/>
      <c r="KR74" s="32"/>
      <c r="KS74" s="188"/>
      <c r="KT74" s="189"/>
      <c r="KU74" s="189"/>
      <c r="KV74" s="190"/>
      <c r="KW74" s="32"/>
      <c r="KX74" s="32"/>
      <c r="KY74" s="188">
        <v>2.5</v>
      </c>
      <c r="KZ74" s="189">
        <f>KY74</f>
        <v>2.5</v>
      </c>
      <c r="LA74" s="189"/>
      <c r="LB74" s="190"/>
      <c r="LC74" s="32"/>
      <c r="LD74" s="32"/>
      <c r="LE74" s="188">
        <v>1.5</v>
      </c>
      <c r="LF74" s="189"/>
      <c r="LG74" s="189"/>
      <c r="LH74" s="190"/>
      <c r="LI74" s="32"/>
      <c r="LJ74" s="32"/>
      <c r="LK74" s="188"/>
      <c r="LL74" s="189"/>
      <c r="LM74" s="189"/>
      <c r="LN74" s="190"/>
      <c r="LO74" s="32"/>
      <c r="LP74" s="32"/>
      <c r="LQ74" s="188">
        <v>2</v>
      </c>
      <c r="LR74" s="189"/>
      <c r="LS74" s="189"/>
      <c r="LT74" s="190"/>
      <c r="LU74" s="32"/>
      <c r="LV74" s="32"/>
      <c r="LW74" s="188">
        <v>2</v>
      </c>
      <c r="LX74" s="189"/>
      <c r="LY74" s="189"/>
      <c r="LZ74" s="190"/>
      <c r="MA74" s="32"/>
      <c r="MB74" s="32"/>
      <c r="MC74" s="188">
        <v>2</v>
      </c>
      <c r="MD74" s="189"/>
      <c r="ME74" s="189"/>
      <c r="MF74" s="190"/>
      <c r="MG74" s="32"/>
      <c r="MH74" s="32"/>
      <c r="MI74" s="188"/>
      <c r="MJ74" s="189"/>
      <c r="MK74" s="189"/>
      <c r="ML74" s="190"/>
      <c r="MM74" s="32"/>
      <c r="MN74" s="32"/>
      <c r="MO74" s="188">
        <v>2</v>
      </c>
      <c r="MP74" s="189"/>
      <c r="MQ74" s="189"/>
      <c r="MR74" s="190"/>
      <c r="MS74" s="32"/>
      <c r="MT74" s="32"/>
      <c r="MU74" s="188">
        <v>2</v>
      </c>
      <c r="MV74" s="189"/>
      <c r="MW74" s="189"/>
      <c r="MX74" s="190"/>
      <c r="MY74" s="32"/>
      <c r="MZ74" s="32"/>
      <c r="NA74" s="188"/>
      <c r="NB74" s="189"/>
      <c r="NC74" s="189"/>
      <c r="ND74" s="190"/>
      <c r="NE74" s="32"/>
      <c r="NF74" s="32"/>
      <c r="NG74" s="188"/>
      <c r="NH74" s="189"/>
      <c r="NI74" s="189"/>
      <c r="NJ74" s="190"/>
    </row>
    <row r="75" spans="1:374" s="33" customFormat="1" x14ac:dyDescent="0.45">
      <c r="A75" s="274"/>
      <c r="B75" s="33" t="s">
        <v>447</v>
      </c>
      <c r="C75" s="35"/>
      <c r="D75" s="35"/>
      <c r="E75" s="35" t="str">
        <f>E62</f>
        <v>MG</v>
      </c>
      <c r="F75" s="35" t="str">
        <f t="shared" ref="F75:H75" si="11">F62</f>
        <v>라피유탄</v>
      </c>
      <c r="G75" s="35" t="str">
        <f t="shared" si="11"/>
        <v>스킬</v>
      </c>
      <c r="H75" s="34">
        <f t="shared" si="11"/>
        <v>0</v>
      </c>
      <c r="I75" s="35"/>
      <c r="J75" s="35"/>
      <c r="K75" s="35" t="str">
        <f>K62</f>
        <v>RL</v>
      </c>
      <c r="L75" s="35" t="str">
        <f t="shared" ref="L75:N75" si="12">L62</f>
        <v>스킬</v>
      </c>
      <c r="M75" s="35" t="str">
        <f t="shared" si="12"/>
        <v>스킬</v>
      </c>
      <c r="N75" s="34" t="str">
        <f t="shared" si="12"/>
        <v>스킬</v>
      </c>
      <c r="O75" s="35"/>
      <c r="P75" s="35"/>
      <c r="Q75" s="35" t="str">
        <f>Q62</f>
        <v>RL</v>
      </c>
      <c r="R75" s="35" t="str">
        <f t="shared" ref="R75:T75" si="13">R62</f>
        <v>스킬</v>
      </c>
      <c r="S75" s="35" t="str">
        <f t="shared" si="13"/>
        <v>스킬</v>
      </c>
      <c r="T75" s="34" t="str">
        <f t="shared" si="13"/>
        <v>스킬</v>
      </c>
      <c r="U75" s="35"/>
      <c r="V75" s="35"/>
      <c r="W75" s="35" t="str">
        <f>W62</f>
        <v>RL</v>
      </c>
      <c r="X75" s="35" t="str">
        <f t="shared" ref="X75:Z75" si="14">X62</f>
        <v>스킬</v>
      </c>
      <c r="Y75" s="35">
        <f t="shared" si="14"/>
        <v>0</v>
      </c>
      <c r="Z75" s="34">
        <f t="shared" si="14"/>
        <v>0</v>
      </c>
      <c r="AA75" s="35" t="s">
        <v>5</v>
      </c>
      <c r="AB75" s="35"/>
      <c r="AC75" s="35" t="str">
        <f>AC62</f>
        <v>MG</v>
      </c>
      <c r="AD75" s="35" t="str">
        <f t="shared" ref="AD75:AF75" si="15">AD62</f>
        <v>스킬</v>
      </c>
      <c r="AE75" s="35" t="str">
        <f t="shared" si="15"/>
        <v>스킬</v>
      </c>
      <c r="AF75" s="34">
        <f t="shared" si="15"/>
        <v>0</v>
      </c>
      <c r="AG75" s="35" t="s">
        <v>5</v>
      </c>
      <c r="AH75" s="35"/>
      <c r="AI75" s="35" t="str">
        <f>AI62</f>
        <v>MG</v>
      </c>
      <c r="AJ75" s="35" t="str">
        <f t="shared" ref="AJ75:AL75" si="16">AJ62</f>
        <v>스킬</v>
      </c>
      <c r="AK75" s="35" t="str">
        <f t="shared" si="16"/>
        <v>스킬</v>
      </c>
      <c r="AL75" s="34">
        <f t="shared" si="16"/>
        <v>0</v>
      </c>
      <c r="AM75" s="35" t="s">
        <v>5</v>
      </c>
      <c r="AN75" s="35"/>
      <c r="AO75" s="35" t="str">
        <f>AO62</f>
        <v>MG</v>
      </c>
      <c r="AP75" s="35" t="str">
        <f t="shared" ref="AP75:AR75" si="17">AP62</f>
        <v>스킬</v>
      </c>
      <c r="AQ75" s="35" t="str">
        <f t="shared" si="17"/>
        <v>스킬</v>
      </c>
      <c r="AR75" s="34">
        <f t="shared" si="17"/>
        <v>0</v>
      </c>
      <c r="AS75" s="35"/>
      <c r="AT75" s="35"/>
      <c r="AU75" s="35" t="str">
        <f>AU62</f>
        <v>SG</v>
      </c>
      <c r="AV75" s="35" t="str">
        <f t="shared" ref="AV75:AX75" si="18">AV62</f>
        <v>수로시섬광SG</v>
      </c>
      <c r="AW75" s="35">
        <f t="shared" si="18"/>
        <v>0</v>
      </c>
      <c r="AX75" s="34">
        <f t="shared" si="18"/>
        <v>0</v>
      </c>
      <c r="AY75" s="35"/>
      <c r="AZ75" s="35"/>
      <c r="BA75" s="35" t="str">
        <f>BA62</f>
        <v>SG</v>
      </c>
      <c r="BB75" s="35" t="str">
        <f t="shared" ref="BB75:BD75" si="19">BB62</f>
        <v>수로시섬광SG</v>
      </c>
      <c r="BC75" s="35">
        <f t="shared" si="19"/>
        <v>0</v>
      </c>
      <c r="BD75" s="34">
        <f t="shared" si="19"/>
        <v>0</v>
      </c>
      <c r="BE75" s="35"/>
      <c r="BF75" s="35"/>
      <c r="BG75" s="35" t="str">
        <f>BG62</f>
        <v>SR</v>
      </c>
      <c r="BH75" s="35" t="str">
        <f t="shared" ref="BH75:BJ75" si="20">BH62</f>
        <v>스킬</v>
      </c>
      <c r="BI75" s="35">
        <f t="shared" si="20"/>
        <v>0</v>
      </c>
      <c r="BJ75" s="34">
        <f t="shared" si="20"/>
        <v>0</v>
      </c>
      <c r="BK75" s="35"/>
      <c r="BL75" s="35"/>
      <c r="BM75" s="35" t="str">
        <f>BM62</f>
        <v>SR</v>
      </c>
      <c r="BN75" s="35" t="str">
        <f t="shared" ref="BN75:BP75" si="21">BN62</f>
        <v>일반공격</v>
      </c>
      <c r="BO75" s="35">
        <f t="shared" si="21"/>
        <v>0</v>
      </c>
      <c r="BP75" s="34">
        <f t="shared" si="21"/>
        <v>0</v>
      </c>
      <c r="BQ75" s="35"/>
      <c r="BR75" s="35"/>
      <c r="BS75" s="35" t="str">
        <f>BS62</f>
        <v>SR</v>
      </c>
      <c r="BT75" s="35">
        <f t="shared" ref="BT75:BV75" si="22">BT62</f>
        <v>0</v>
      </c>
      <c r="BU75" s="35">
        <f t="shared" si="22"/>
        <v>0</v>
      </c>
      <c r="BV75" s="34">
        <f t="shared" si="22"/>
        <v>0</v>
      </c>
      <c r="BW75" s="35"/>
      <c r="BX75" s="35"/>
      <c r="BY75" s="35" t="str">
        <f>BY62</f>
        <v>SG</v>
      </c>
      <c r="BZ75" s="35" t="str">
        <f t="shared" ref="BZ75:CB75" si="23">BZ62</f>
        <v>스킬</v>
      </c>
      <c r="CA75" s="35">
        <f t="shared" si="23"/>
        <v>0</v>
      </c>
      <c r="CB75" s="34">
        <f t="shared" si="23"/>
        <v>0</v>
      </c>
      <c r="CC75" s="35"/>
      <c r="CD75" s="35"/>
      <c r="CE75" s="35" t="str">
        <f>CE62</f>
        <v>MG</v>
      </c>
      <c r="CF75" s="35" t="str">
        <f t="shared" ref="CF75:CH75" si="24">CF62</f>
        <v>스킬</v>
      </c>
      <c r="CG75" s="35" t="str">
        <f t="shared" si="24"/>
        <v>스킬</v>
      </c>
      <c r="CH75" s="34">
        <f t="shared" si="24"/>
        <v>0</v>
      </c>
      <c r="CI75" s="35"/>
      <c r="CJ75" s="35"/>
      <c r="CK75" s="35" t="str">
        <f>CK62</f>
        <v>SG</v>
      </c>
      <c r="CL75" s="35" t="str">
        <f t="shared" ref="CL75:CN75" si="25">CL62</f>
        <v>스킬</v>
      </c>
      <c r="CM75" s="35" t="str">
        <f t="shared" si="25"/>
        <v>스킬</v>
      </c>
      <c r="CN75" s="34">
        <f t="shared" si="25"/>
        <v>0</v>
      </c>
      <c r="CO75" s="35"/>
      <c r="CP75" s="35"/>
      <c r="CQ75" s="35" t="str">
        <f>CQ62</f>
        <v>SG</v>
      </c>
      <c r="CR75" s="35">
        <f t="shared" ref="CR75:CT75" si="26">CR62</f>
        <v>0</v>
      </c>
      <c r="CS75" s="35">
        <f t="shared" si="26"/>
        <v>0</v>
      </c>
      <c r="CT75" s="34">
        <f t="shared" si="26"/>
        <v>0</v>
      </c>
      <c r="CU75" s="35"/>
      <c r="CV75" s="35"/>
      <c r="CW75" s="35" t="str">
        <f>CW62</f>
        <v>SG</v>
      </c>
      <c r="CX75" s="35">
        <f t="shared" ref="CX75:CZ75" si="27">CX62</f>
        <v>0</v>
      </c>
      <c r="CY75" s="35">
        <f t="shared" si="27"/>
        <v>0</v>
      </c>
      <c r="CZ75" s="34">
        <f t="shared" si="27"/>
        <v>0</v>
      </c>
      <c r="DA75" s="35" t="s">
        <v>434</v>
      </c>
      <c r="DB75" s="35"/>
      <c r="DC75" s="35" t="str">
        <f>DC62</f>
        <v>SR</v>
      </c>
      <c r="DD75" s="35" t="str">
        <f t="shared" ref="DD75:DF75" si="28">DD62</f>
        <v>스킬</v>
      </c>
      <c r="DE75" s="35">
        <f t="shared" si="28"/>
        <v>0</v>
      </c>
      <c r="DF75" s="34">
        <f t="shared" si="28"/>
        <v>0</v>
      </c>
      <c r="DG75" s="35" t="s">
        <v>434</v>
      </c>
      <c r="DH75" s="35"/>
      <c r="DI75" s="35" t="str">
        <f>DI62</f>
        <v>SR</v>
      </c>
      <c r="DJ75" s="35" t="str">
        <f t="shared" ref="DJ75:DL75" si="29">DJ62</f>
        <v>스킬</v>
      </c>
      <c r="DK75" s="35">
        <f t="shared" si="29"/>
        <v>0</v>
      </c>
      <c r="DL75" s="34">
        <f t="shared" si="29"/>
        <v>0</v>
      </c>
      <c r="DM75" s="35"/>
      <c r="DN75" s="35"/>
      <c r="DO75" s="35" t="str">
        <f>DO62</f>
        <v>AR</v>
      </c>
      <c r="DP75" s="35">
        <f t="shared" ref="DP75:DR75" si="30">DP62</f>
        <v>0</v>
      </c>
      <c r="DQ75" s="35">
        <f t="shared" si="30"/>
        <v>0</v>
      </c>
      <c r="DR75" s="34">
        <f t="shared" si="30"/>
        <v>0</v>
      </c>
      <c r="DS75" s="35"/>
      <c r="DT75" s="35"/>
      <c r="DU75" s="35" t="str">
        <f>DU62</f>
        <v>MG</v>
      </c>
      <c r="DV75" s="35" t="str">
        <f t="shared" ref="DV75:DX75" si="31">DV62</f>
        <v>스킬</v>
      </c>
      <c r="DW75" s="35">
        <f t="shared" si="31"/>
        <v>0</v>
      </c>
      <c r="DX75" s="34">
        <f t="shared" si="31"/>
        <v>0</v>
      </c>
      <c r="DY75" s="35"/>
      <c r="DZ75" s="35"/>
      <c r="EA75" s="35" t="str">
        <f>EA62</f>
        <v>RL</v>
      </c>
      <c r="EB75" s="35" t="str">
        <f t="shared" ref="EB75:ED75" si="32">EB62</f>
        <v>스킬</v>
      </c>
      <c r="EC75" s="35">
        <f t="shared" si="32"/>
        <v>0</v>
      </c>
      <c r="ED75" s="34">
        <f t="shared" si="32"/>
        <v>0</v>
      </c>
      <c r="EE75" s="35"/>
      <c r="EF75" s="35"/>
      <c r="EG75" s="35" t="str">
        <f>EG62</f>
        <v>RL</v>
      </c>
      <c r="EH75" s="35" t="str">
        <f t="shared" ref="EH75:EJ75" si="33">EH62</f>
        <v>스킬</v>
      </c>
      <c r="EI75" s="35">
        <f t="shared" si="33"/>
        <v>0</v>
      </c>
      <c r="EJ75" s="34">
        <f t="shared" si="33"/>
        <v>0</v>
      </c>
      <c r="EK75" s="35"/>
      <c r="EL75" s="35"/>
      <c r="EM75" s="35" t="str">
        <f>EM62</f>
        <v>SR</v>
      </c>
      <c r="EN75" s="35">
        <f t="shared" ref="EN75:EP75" si="34">EN62</f>
        <v>0</v>
      </c>
      <c r="EO75" s="35">
        <f t="shared" si="34"/>
        <v>0</v>
      </c>
      <c r="EP75" s="34">
        <f t="shared" si="34"/>
        <v>0</v>
      </c>
      <c r="EQ75" s="35"/>
      <c r="ER75" s="35"/>
      <c r="ES75" s="35" t="str">
        <f>ES62</f>
        <v>SG</v>
      </c>
      <c r="ET75" s="35">
        <f t="shared" ref="ET75:EV75" si="35">ET62</f>
        <v>0</v>
      </c>
      <c r="EU75" s="35">
        <f t="shared" si="35"/>
        <v>0</v>
      </c>
      <c r="EV75" s="34">
        <f t="shared" si="35"/>
        <v>0</v>
      </c>
      <c r="EW75" s="35"/>
      <c r="EX75" s="35"/>
      <c r="EY75" s="35" t="str">
        <f>EY62</f>
        <v>SG</v>
      </c>
      <c r="EZ75" s="35">
        <f t="shared" ref="EZ75:FB75" si="36">EZ62</f>
        <v>0</v>
      </c>
      <c r="FA75" s="35">
        <f t="shared" si="36"/>
        <v>0</v>
      </c>
      <c r="FB75" s="34">
        <f t="shared" si="36"/>
        <v>0</v>
      </c>
      <c r="FC75" s="35"/>
      <c r="FD75" s="35"/>
      <c r="FE75" s="35" t="str">
        <f>FE62</f>
        <v>AR</v>
      </c>
      <c r="FF75" s="35" t="str">
        <f t="shared" ref="FF75:FH75" si="37">FF62</f>
        <v>스킬</v>
      </c>
      <c r="FG75" s="35">
        <f t="shared" si="37"/>
        <v>0</v>
      </c>
      <c r="FH75" s="34">
        <f t="shared" si="37"/>
        <v>0</v>
      </c>
      <c r="FI75" s="35"/>
      <c r="FJ75" s="35"/>
      <c r="FK75" s="35" t="str">
        <f>FK62</f>
        <v>AR</v>
      </c>
      <c r="FL75" s="35" t="str">
        <f t="shared" ref="FL75:FN75" si="38">FL62</f>
        <v>스킬</v>
      </c>
      <c r="FM75" s="35" t="str">
        <f t="shared" si="38"/>
        <v>스킬</v>
      </c>
      <c r="FN75" s="34">
        <f t="shared" si="38"/>
        <v>0</v>
      </c>
      <c r="FO75" s="35"/>
      <c r="FP75" s="35"/>
      <c r="FQ75" s="35" t="str">
        <f>FQ62</f>
        <v>RL</v>
      </c>
      <c r="FR75" s="35" t="str">
        <f t="shared" ref="FR75:FT75" si="39">FR62</f>
        <v>스킬</v>
      </c>
      <c r="FS75" s="35" t="str">
        <f t="shared" si="39"/>
        <v>라플버스트</v>
      </c>
      <c r="FT75" s="34" t="str">
        <f t="shared" si="39"/>
        <v>스킬</v>
      </c>
      <c r="FU75" s="35"/>
      <c r="FV75" s="35"/>
      <c r="FW75" s="35" t="str">
        <f>FW62</f>
        <v>RL</v>
      </c>
      <c r="FX75" s="35" t="str">
        <f t="shared" ref="FX75:FZ75" si="40">FX62</f>
        <v>스킬</v>
      </c>
      <c r="FY75" s="35" t="str">
        <f t="shared" si="40"/>
        <v>라플버스트</v>
      </c>
      <c r="FZ75" s="34" t="str">
        <f t="shared" si="40"/>
        <v>스킬</v>
      </c>
      <c r="GA75" s="35"/>
      <c r="GB75" s="35"/>
      <c r="GC75" s="35" t="str">
        <f>GC62</f>
        <v>AR</v>
      </c>
      <c r="GD75" s="35" t="str">
        <f t="shared" ref="GD75:GF75" si="41">GD62</f>
        <v>스킬</v>
      </c>
      <c r="GE75" s="35">
        <f t="shared" si="41"/>
        <v>0</v>
      </c>
      <c r="GF75" s="34">
        <f t="shared" si="41"/>
        <v>0</v>
      </c>
      <c r="GG75" s="35"/>
      <c r="GH75" s="35"/>
      <c r="GI75" s="35" t="str">
        <f>GI62</f>
        <v>RL</v>
      </c>
      <c r="GJ75" s="35" t="str">
        <f t="shared" ref="GJ75:GL75" si="42">GJ62</f>
        <v>스킬</v>
      </c>
      <c r="GK75" s="35">
        <f t="shared" si="42"/>
        <v>0</v>
      </c>
      <c r="GL75" s="34">
        <f t="shared" si="42"/>
        <v>0</v>
      </c>
      <c r="GM75" s="35"/>
      <c r="GN75" s="35"/>
      <c r="GO75" s="35" t="str">
        <f>GO62</f>
        <v>RL</v>
      </c>
      <c r="GP75" s="35" t="str">
        <f t="shared" ref="GP75:GR75" si="43">GP62</f>
        <v>스킬</v>
      </c>
      <c r="GQ75" s="35">
        <f t="shared" si="43"/>
        <v>0</v>
      </c>
      <c r="GR75" s="34">
        <f t="shared" si="43"/>
        <v>0</v>
      </c>
      <c r="GS75" s="35"/>
      <c r="GT75" s="35"/>
      <c r="GU75" s="35" t="str">
        <f>GU62</f>
        <v>AR</v>
      </c>
      <c r="GV75" s="35">
        <f t="shared" ref="GV75:GX75" si="44">GV62</f>
        <v>0</v>
      </c>
      <c r="GW75" s="35">
        <f t="shared" si="44"/>
        <v>0</v>
      </c>
      <c r="GX75" s="34" t="str">
        <f t="shared" si="44"/>
        <v>SR</v>
      </c>
      <c r="GY75" s="35"/>
      <c r="GZ75" s="35"/>
      <c r="HA75" s="35" t="str">
        <f>HA62</f>
        <v>SR</v>
      </c>
      <c r="HB75" s="35" t="str">
        <f t="shared" ref="HB75:HD75" si="45">HB62</f>
        <v>SR</v>
      </c>
      <c r="HC75" s="35">
        <f t="shared" si="45"/>
        <v>0</v>
      </c>
      <c r="HD75" s="34">
        <f t="shared" si="45"/>
        <v>0</v>
      </c>
      <c r="HE75" s="35" t="s">
        <v>5</v>
      </c>
      <c r="HF75" s="35"/>
      <c r="HG75" s="35" t="str">
        <f>HG62</f>
        <v>SR</v>
      </c>
      <c r="HH75" s="35" t="str">
        <f t="shared" ref="HH75:HJ75" si="46">HH62</f>
        <v>스킬</v>
      </c>
      <c r="HI75" s="35">
        <f t="shared" si="46"/>
        <v>0</v>
      </c>
      <c r="HJ75" s="34">
        <f t="shared" si="46"/>
        <v>0</v>
      </c>
      <c r="HK75" s="35"/>
      <c r="HL75" s="35"/>
      <c r="HM75" s="35" t="str">
        <f>HM62</f>
        <v>MG</v>
      </c>
      <c r="HN75" s="35" t="str">
        <f t="shared" ref="HN75:HP75" si="47">HN62</f>
        <v>스킬</v>
      </c>
      <c r="HO75" s="35">
        <f t="shared" si="47"/>
        <v>0</v>
      </c>
      <c r="HP75" s="34">
        <f t="shared" si="47"/>
        <v>0</v>
      </c>
      <c r="HQ75" s="35"/>
      <c r="HR75" s="35"/>
      <c r="HS75" s="35" t="str">
        <f>HS62</f>
        <v>MG</v>
      </c>
      <c r="HT75" s="35" t="str">
        <f t="shared" ref="HT75:HV75" si="48">HT62</f>
        <v>스킬</v>
      </c>
      <c r="HU75" s="35" t="str">
        <f t="shared" si="48"/>
        <v>스킬</v>
      </c>
      <c r="HV75" s="34">
        <f t="shared" si="48"/>
        <v>0</v>
      </c>
      <c r="HW75" s="35"/>
      <c r="HX75" s="35"/>
      <c r="HY75" s="35" t="str">
        <f>HY62</f>
        <v>AR</v>
      </c>
      <c r="HZ75" s="35" t="str">
        <f t="shared" ref="HZ75:IB75" si="49">HZ62</f>
        <v>스킬</v>
      </c>
      <c r="IA75" s="35">
        <f t="shared" si="49"/>
        <v>0</v>
      </c>
      <c r="IB75" s="34">
        <f t="shared" si="49"/>
        <v>0</v>
      </c>
      <c r="IC75" s="35"/>
      <c r="ID75" s="35"/>
      <c r="IE75" s="35" t="str">
        <f>IE62</f>
        <v>AR</v>
      </c>
      <c r="IF75" s="35" t="str">
        <f t="shared" ref="IF75:IH75" si="50">IF62</f>
        <v>스킬</v>
      </c>
      <c r="IG75" s="35">
        <f t="shared" si="50"/>
        <v>0</v>
      </c>
      <c r="IH75" s="34">
        <f t="shared" si="50"/>
        <v>0</v>
      </c>
      <c r="II75" s="35"/>
      <c r="IJ75" s="35"/>
      <c r="IK75" s="35" t="str">
        <f>IK62</f>
        <v>SMG</v>
      </c>
      <c r="IL75" s="35">
        <f t="shared" ref="IL75:IN75" si="51">IL62</f>
        <v>0</v>
      </c>
      <c r="IM75" s="35">
        <f t="shared" si="51"/>
        <v>0</v>
      </c>
      <c r="IN75" s="34">
        <f t="shared" si="51"/>
        <v>0</v>
      </c>
      <c r="IO75" s="35"/>
      <c r="IP75" s="35"/>
      <c r="IQ75" s="35" t="str">
        <f>IQ62</f>
        <v>AR</v>
      </c>
      <c r="IR75" s="35">
        <f t="shared" ref="IR75:IT75" si="52">IR62</f>
        <v>0</v>
      </c>
      <c r="IS75" s="35">
        <f t="shared" si="52"/>
        <v>0</v>
      </c>
      <c r="IT75" s="34">
        <f t="shared" si="52"/>
        <v>0</v>
      </c>
      <c r="IU75" s="35"/>
      <c r="IV75" s="35"/>
      <c r="IW75" s="35" t="str">
        <f t="shared" ref="IW75:IZ78" si="53">IW62</f>
        <v>AR</v>
      </c>
      <c r="IX75" s="35">
        <f t="shared" si="53"/>
        <v>0</v>
      </c>
      <c r="IY75" s="35">
        <f t="shared" si="53"/>
        <v>0</v>
      </c>
      <c r="IZ75" s="34">
        <f t="shared" si="53"/>
        <v>0</v>
      </c>
      <c r="JA75" s="35"/>
      <c r="JB75" s="35"/>
      <c r="JC75" s="35" t="str">
        <f>JC62</f>
        <v>SR</v>
      </c>
      <c r="JD75" s="35" t="str">
        <f t="shared" ref="JD75:JF75" si="54">JD62</f>
        <v>스킬</v>
      </c>
      <c r="JE75" s="35">
        <f t="shared" si="54"/>
        <v>0</v>
      </c>
      <c r="JF75" s="34">
        <f t="shared" si="54"/>
        <v>0</v>
      </c>
      <c r="JG75" s="35"/>
      <c r="JH75" s="35"/>
      <c r="JI75" s="35" t="str">
        <f t="shared" ref="JI75:JL78" si="55">JI62</f>
        <v>SR</v>
      </c>
      <c r="JJ75" s="35" t="str">
        <f t="shared" si="55"/>
        <v>스킬</v>
      </c>
      <c r="JK75" s="35">
        <f t="shared" si="55"/>
        <v>0</v>
      </c>
      <c r="JL75" s="34">
        <f t="shared" si="55"/>
        <v>0</v>
      </c>
      <c r="JM75" s="35"/>
      <c r="JN75" s="35"/>
      <c r="JO75" s="35" t="str">
        <f>JO62</f>
        <v>SG</v>
      </c>
      <c r="JP75" s="35" t="str">
        <f t="shared" ref="JP75:JR75" si="56">JP62</f>
        <v>스킬</v>
      </c>
      <c r="JQ75" s="35" t="str">
        <f t="shared" si="56"/>
        <v>스킬</v>
      </c>
      <c r="JR75" s="34">
        <f t="shared" si="56"/>
        <v>0</v>
      </c>
      <c r="JS75" s="35"/>
      <c r="JT75" s="35"/>
      <c r="JU75" s="35" t="str">
        <f>JU62</f>
        <v>RL</v>
      </c>
      <c r="JV75" s="35" t="str">
        <f t="shared" ref="JV75:JX75" si="57">JV62</f>
        <v>RL</v>
      </c>
      <c r="JW75" s="35" t="str">
        <f t="shared" si="57"/>
        <v>스킬</v>
      </c>
      <c r="JX75" s="34">
        <f t="shared" si="57"/>
        <v>0</v>
      </c>
      <c r="JY75" s="35"/>
      <c r="JZ75" s="35"/>
      <c r="KA75" s="35" t="str">
        <f>KA62</f>
        <v>RL</v>
      </c>
      <c r="KB75" s="35" t="str">
        <f t="shared" ref="KB75:KD75" si="58">KB62</f>
        <v>RL</v>
      </c>
      <c r="KC75" s="35" t="str">
        <f t="shared" si="58"/>
        <v>스킬</v>
      </c>
      <c r="KD75" s="34">
        <f t="shared" si="58"/>
        <v>0</v>
      </c>
      <c r="KE75" s="35"/>
      <c r="KF75" s="35"/>
      <c r="KG75" s="35" t="str">
        <f>KG62</f>
        <v>AR</v>
      </c>
      <c r="KH75" s="35" t="str">
        <f t="shared" ref="KH75:KJ75" si="59">KH62</f>
        <v>스킬</v>
      </c>
      <c r="KI75" s="35">
        <f t="shared" si="59"/>
        <v>0</v>
      </c>
      <c r="KJ75" s="34">
        <f t="shared" si="59"/>
        <v>0</v>
      </c>
      <c r="KK75" s="35"/>
      <c r="KL75" s="35"/>
      <c r="KM75" s="35" t="str">
        <f>KM62</f>
        <v>MG</v>
      </c>
      <c r="KN75" s="35">
        <f t="shared" ref="KN75:KP75" si="60">KN62</f>
        <v>0</v>
      </c>
      <c r="KO75" s="35">
        <f t="shared" si="60"/>
        <v>0</v>
      </c>
      <c r="KP75" s="34">
        <f t="shared" si="60"/>
        <v>0</v>
      </c>
      <c r="KQ75" s="35"/>
      <c r="KR75" s="35"/>
      <c r="KS75" s="35" t="s">
        <v>94</v>
      </c>
      <c r="KT75" s="35" t="str">
        <f t="shared" ref="KT75:KV75" si="61">KT62</f>
        <v>스킬</v>
      </c>
      <c r="KU75" s="35">
        <f t="shared" si="61"/>
        <v>0</v>
      </c>
      <c r="KV75" s="34">
        <f t="shared" si="61"/>
        <v>0</v>
      </c>
      <c r="KW75" s="35"/>
      <c r="KX75" s="35"/>
      <c r="KY75" s="35" t="str">
        <f>KY62</f>
        <v>MG</v>
      </c>
      <c r="KZ75" s="35" t="str">
        <f t="shared" ref="KZ75:LB75" si="62">KZ62</f>
        <v>라피유탄</v>
      </c>
      <c r="LA75" s="35" t="str">
        <f t="shared" si="62"/>
        <v>스킬</v>
      </c>
      <c r="LB75" s="34">
        <f t="shared" si="62"/>
        <v>0</v>
      </c>
      <c r="LC75" s="35" t="str">
        <f>LC62</f>
        <v>스킬</v>
      </c>
      <c r="LD75" s="35"/>
      <c r="LE75" s="35" t="str">
        <f>LE62</f>
        <v>SMG</v>
      </c>
      <c r="LF75" s="35" t="str">
        <f t="shared" ref="LF75:LH75" si="63">LF62</f>
        <v>RL</v>
      </c>
      <c r="LG75" s="35" t="str">
        <f t="shared" si="63"/>
        <v>스킬</v>
      </c>
      <c r="LH75" s="34" t="str">
        <f t="shared" si="63"/>
        <v>스킬</v>
      </c>
      <c r="LI75" s="35" t="str">
        <f>LI62</f>
        <v>스킬</v>
      </c>
      <c r="LJ75" s="35"/>
      <c r="LK75" s="35" t="str">
        <f>LK62</f>
        <v>MG</v>
      </c>
      <c r="LL75" s="35">
        <f t="shared" ref="LL75:LN75" si="64">LL62</f>
        <v>0</v>
      </c>
      <c r="LM75" s="35">
        <f t="shared" si="64"/>
        <v>0</v>
      </c>
      <c r="LN75" s="34">
        <f t="shared" si="64"/>
        <v>0</v>
      </c>
      <c r="LO75" s="35"/>
      <c r="LP75" s="35"/>
      <c r="LQ75" s="35" t="str">
        <f>LQ62</f>
        <v>SR</v>
      </c>
      <c r="LR75" s="35" t="str">
        <f t="shared" ref="LR75:LT75" si="65">LR62</f>
        <v>스킬</v>
      </c>
      <c r="LS75" s="35">
        <f t="shared" si="65"/>
        <v>0</v>
      </c>
      <c r="LT75" s="34">
        <f t="shared" si="65"/>
        <v>0</v>
      </c>
      <c r="LU75" s="35"/>
      <c r="LV75" s="35"/>
      <c r="LW75" s="35" t="str">
        <f>LW62</f>
        <v>RL</v>
      </c>
      <c r="LX75" s="35" t="str">
        <f t="shared" ref="LX75:LZ75" si="66">LX62</f>
        <v>스킬</v>
      </c>
      <c r="LY75" s="35" t="str">
        <f t="shared" si="66"/>
        <v>스킬</v>
      </c>
      <c r="LZ75" s="34">
        <f t="shared" si="66"/>
        <v>0</v>
      </c>
      <c r="MA75" s="35"/>
      <c r="MB75" s="35"/>
      <c r="MC75" s="35" t="str">
        <f>MC62</f>
        <v>SG</v>
      </c>
      <c r="MD75" s="35" t="str">
        <f t="shared" ref="MD75:MF75" si="67">MD62</f>
        <v>스킬</v>
      </c>
      <c r="ME75" s="35">
        <f t="shared" si="67"/>
        <v>0</v>
      </c>
      <c r="MF75" s="34">
        <f t="shared" si="67"/>
        <v>0</v>
      </c>
      <c r="MG75" s="35"/>
      <c r="MH75" s="35"/>
      <c r="MI75" s="35" t="str">
        <f>MI62</f>
        <v>AR</v>
      </c>
      <c r="MJ75" s="35">
        <f t="shared" ref="MJ75:ML75" si="68">MJ62</f>
        <v>0</v>
      </c>
      <c r="MK75" s="35">
        <f t="shared" si="68"/>
        <v>0</v>
      </c>
      <c r="ML75" s="34">
        <f t="shared" si="68"/>
        <v>0</v>
      </c>
      <c r="MM75" s="35"/>
      <c r="MN75" s="35"/>
      <c r="MO75" s="35" t="str">
        <f>MO62</f>
        <v>RL</v>
      </c>
      <c r="MP75" s="35" t="str">
        <f t="shared" ref="MP75:MR75" si="69">MP62</f>
        <v>스킬</v>
      </c>
      <c r="MQ75" s="35">
        <f t="shared" si="69"/>
        <v>0</v>
      </c>
      <c r="MR75" s="34">
        <f t="shared" si="69"/>
        <v>0</v>
      </c>
      <c r="MS75" s="35"/>
      <c r="MT75" s="35"/>
      <c r="MU75" s="35" t="str">
        <f>MU62</f>
        <v>SR</v>
      </c>
      <c r="MV75" s="35" t="str">
        <f t="shared" ref="MV75:MX75" si="70">MV62</f>
        <v>SR</v>
      </c>
      <c r="MW75" s="35" t="str">
        <f t="shared" si="70"/>
        <v>스킬</v>
      </c>
      <c r="MX75" s="34" t="str">
        <f t="shared" si="70"/>
        <v>스킬</v>
      </c>
      <c r="MY75" s="35"/>
      <c r="MZ75" s="35"/>
      <c r="NA75" s="35" t="str">
        <f>NA62</f>
        <v>RL</v>
      </c>
      <c r="NB75" s="35">
        <f t="shared" ref="NB75:ND75" si="71">NB62</f>
        <v>0</v>
      </c>
      <c r="NC75" s="35">
        <f t="shared" si="71"/>
        <v>0</v>
      </c>
      <c r="ND75" s="34">
        <f t="shared" si="71"/>
        <v>0</v>
      </c>
      <c r="NE75" s="35"/>
      <c r="NF75" s="35"/>
      <c r="NG75" s="35">
        <f>NG62</f>
        <v>0</v>
      </c>
      <c r="NH75" s="35">
        <f t="shared" ref="NH75:NJ75" si="72">NH62</f>
        <v>0</v>
      </c>
      <c r="NI75" s="35">
        <f t="shared" si="72"/>
        <v>0</v>
      </c>
      <c r="NJ75" s="34">
        <f t="shared" si="72"/>
        <v>0</v>
      </c>
    </row>
    <row r="76" spans="1:374" s="33" customFormat="1" x14ac:dyDescent="0.45">
      <c r="A76" s="274"/>
      <c r="B76" s="33" t="s">
        <v>448</v>
      </c>
      <c r="C76" s="35"/>
      <c r="D76" s="35"/>
      <c r="E76" s="35" t="str">
        <f t="shared" ref="E76:H76" si="73">E63</f>
        <v/>
      </c>
      <c r="F76" s="35" t="str">
        <f t="shared" si="73"/>
        <v>발사체부착</v>
      </c>
      <c r="G76" s="35" t="str">
        <f t="shared" si="73"/>
        <v>발사체폭발</v>
      </c>
      <c r="H76" s="34">
        <f t="shared" si="73"/>
        <v>0</v>
      </c>
      <c r="I76" s="35"/>
      <c r="J76" s="35"/>
      <c r="K76" s="35" t="str">
        <f t="shared" ref="K76:N76" si="74">K63</f>
        <v>차지</v>
      </c>
      <c r="L76" s="35">
        <f t="shared" si="74"/>
        <v>0</v>
      </c>
      <c r="M76" s="35" t="str">
        <f t="shared" si="74"/>
        <v>분배</v>
      </c>
      <c r="N76" s="34" t="str">
        <f t="shared" si="74"/>
        <v>분배</v>
      </c>
      <c r="O76" s="35"/>
      <c r="P76" s="35"/>
      <c r="Q76" s="35" t="str">
        <f t="shared" ref="Q76:T76" si="75">Q63</f>
        <v>차지</v>
      </c>
      <c r="R76" s="35">
        <f t="shared" si="75"/>
        <v>0</v>
      </c>
      <c r="S76" s="35" t="str">
        <f t="shared" si="75"/>
        <v>분배</v>
      </c>
      <c r="T76" s="34" t="str">
        <f t="shared" si="75"/>
        <v>분배</v>
      </c>
      <c r="U76" s="35"/>
      <c r="V76" s="35"/>
      <c r="W76" s="35" t="str">
        <f t="shared" ref="W76:Z76" si="76">W63</f>
        <v>차지</v>
      </c>
      <c r="X76" s="35">
        <f t="shared" si="76"/>
        <v>0</v>
      </c>
      <c r="Y76" s="35">
        <f t="shared" si="76"/>
        <v>0</v>
      </c>
      <c r="Z76" s="34">
        <f t="shared" si="76"/>
        <v>0</v>
      </c>
      <c r="AA76" s="35"/>
      <c r="AB76" s="35"/>
      <c r="AC76" s="35" t="str">
        <f t="shared" ref="AC76" si="77">AC63</f>
        <v/>
      </c>
      <c r="AD76" s="35" t="str">
        <f t="shared" ref="AD76:AF76" si="78">AD63</f>
        <v>지속</v>
      </c>
      <c r="AE76" s="35" t="str">
        <f t="shared" si="78"/>
        <v>지속</v>
      </c>
      <c r="AF76" s="34">
        <f t="shared" si="78"/>
        <v>0</v>
      </c>
      <c r="AG76" s="35"/>
      <c r="AH76" s="35"/>
      <c r="AI76" s="35" t="str">
        <f t="shared" ref="AI76:AL76" si="79">AI63</f>
        <v/>
      </c>
      <c r="AJ76" s="35" t="str">
        <f t="shared" si="79"/>
        <v>지속</v>
      </c>
      <c r="AK76" s="35" t="str">
        <f t="shared" si="79"/>
        <v>지속</v>
      </c>
      <c r="AL76" s="34">
        <f t="shared" si="79"/>
        <v>0</v>
      </c>
      <c r="AM76" s="35"/>
      <c r="AN76" s="35"/>
      <c r="AO76" s="35" t="str">
        <f t="shared" ref="AO76:AR76" si="80">AO63</f>
        <v/>
      </c>
      <c r="AP76" s="35" t="str">
        <f t="shared" si="80"/>
        <v>지속</v>
      </c>
      <c r="AQ76" s="35" t="str">
        <f t="shared" si="80"/>
        <v>지속</v>
      </c>
      <c r="AR76" s="34">
        <f t="shared" si="80"/>
        <v>0</v>
      </c>
      <c r="AS76" s="35"/>
      <c r="AT76" s="35"/>
      <c r="AU76" s="35" t="str">
        <f t="shared" ref="AU76:AX76" si="81">AU63</f>
        <v/>
      </c>
      <c r="AV76" s="35" t="str">
        <f t="shared" si="81"/>
        <v>관통</v>
      </c>
      <c r="AW76" s="35">
        <f t="shared" si="81"/>
        <v>0</v>
      </c>
      <c r="AX76" s="34">
        <f t="shared" si="81"/>
        <v>0</v>
      </c>
      <c r="AY76" s="35"/>
      <c r="AZ76" s="35"/>
      <c r="BA76" s="35" t="str">
        <f t="shared" ref="BA76:BD76" si="82">BA63</f>
        <v/>
      </c>
      <c r="BB76" s="35" t="str">
        <f t="shared" si="82"/>
        <v>관통</v>
      </c>
      <c r="BC76" s="35">
        <f t="shared" si="82"/>
        <v>0</v>
      </c>
      <c r="BD76" s="34">
        <f t="shared" si="82"/>
        <v>0</v>
      </c>
      <c r="BE76" s="35"/>
      <c r="BF76" s="35"/>
      <c r="BG76" s="35" t="str">
        <f t="shared" ref="BG76:BJ76" si="83">BG63</f>
        <v>차지</v>
      </c>
      <c r="BH76" s="35">
        <f t="shared" si="83"/>
        <v>0</v>
      </c>
      <c r="BI76" s="35">
        <f t="shared" si="83"/>
        <v>0</v>
      </c>
      <c r="BJ76" s="34">
        <f t="shared" si="83"/>
        <v>0</v>
      </c>
      <c r="BK76" s="35"/>
      <c r="BL76" s="35"/>
      <c r="BM76" s="35" t="str">
        <f t="shared" ref="BM76:BP76" si="84">BM63</f>
        <v>차지</v>
      </c>
      <c r="BN76" s="35" t="str">
        <f t="shared" si="84"/>
        <v>차지</v>
      </c>
      <c r="BO76" s="35">
        <f t="shared" si="84"/>
        <v>0</v>
      </c>
      <c r="BP76" s="34">
        <f t="shared" si="84"/>
        <v>0</v>
      </c>
      <c r="BQ76" s="35"/>
      <c r="BR76" s="35"/>
      <c r="BS76" s="35" t="str">
        <f t="shared" ref="BS76:BV76" si="85">BS63</f>
        <v>차지</v>
      </c>
      <c r="BT76" s="35">
        <f t="shared" si="85"/>
        <v>0</v>
      </c>
      <c r="BU76" s="35">
        <f t="shared" si="85"/>
        <v>0</v>
      </c>
      <c r="BV76" s="34">
        <f t="shared" si="85"/>
        <v>0</v>
      </c>
      <c r="BW76" s="35"/>
      <c r="BX76" s="35"/>
      <c r="BY76" s="35" t="str">
        <f t="shared" ref="BY76:CB76" si="86">BY63</f>
        <v/>
      </c>
      <c r="BZ76" s="35">
        <f t="shared" si="86"/>
        <v>0</v>
      </c>
      <c r="CA76" s="35">
        <f t="shared" si="86"/>
        <v>0</v>
      </c>
      <c r="CB76" s="34">
        <f t="shared" si="86"/>
        <v>0</v>
      </c>
      <c r="CC76" s="35"/>
      <c r="CD76" s="35"/>
      <c r="CE76" s="35" t="str">
        <f t="shared" ref="CE76:CH76" si="87">CE63</f>
        <v/>
      </c>
      <c r="CF76" s="35">
        <f t="shared" si="87"/>
        <v>0</v>
      </c>
      <c r="CG76" s="35">
        <f t="shared" si="87"/>
        <v>0</v>
      </c>
      <c r="CH76" s="34">
        <f t="shared" si="87"/>
        <v>0</v>
      </c>
      <c r="CI76" s="35"/>
      <c r="CJ76" s="35"/>
      <c r="CK76" s="35" t="str">
        <f t="shared" ref="CK76:CN76" si="88">CK63</f>
        <v/>
      </c>
      <c r="CL76" s="35">
        <f t="shared" si="88"/>
        <v>0</v>
      </c>
      <c r="CM76" s="35">
        <f t="shared" si="88"/>
        <v>0</v>
      </c>
      <c r="CN76" s="34">
        <f t="shared" si="88"/>
        <v>0</v>
      </c>
      <c r="CO76" s="35"/>
      <c r="CP76" s="35"/>
      <c r="CQ76" s="35" t="str">
        <f t="shared" ref="CQ76:CT76" si="89">CQ63</f>
        <v/>
      </c>
      <c r="CR76" s="35">
        <f t="shared" si="89"/>
        <v>0</v>
      </c>
      <c r="CS76" s="35">
        <f t="shared" si="89"/>
        <v>0</v>
      </c>
      <c r="CT76" s="34">
        <f t="shared" si="89"/>
        <v>0</v>
      </c>
      <c r="CU76" s="35"/>
      <c r="CV76" s="35"/>
      <c r="CW76" s="35" t="str">
        <f t="shared" ref="CW76:CZ76" si="90">CW63</f>
        <v/>
      </c>
      <c r="CX76" s="35">
        <f t="shared" si="90"/>
        <v>0</v>
      </c>
      <c r="CY76" s="35">
        <f t="shared" si="90"/>
        <v>0</v>
      </c>
      <c r="CZ76" s="34">
        <f t="shared" si="90"/>
        <v>0</v>
      </c>
      <c r="DA76" s="35" t="s">
        <v>438</v>
      </c>
      <c r="DB76" s="35"/>
      <c r="DC76" s="35" t="str">
        <f t="shared" ref="DC76:DF76" si="91">DC63</f>
        <v>차지</v>
      </c>
      <c r="DD76" s="35" t="str">
        <f t="shared" si="91"/>
        <v>방어력무시</v>
      </c>
      <c r="DE76" s="35">
        <f t="shared" si="91"/>
        <v>0</v>
      </c>
      <c r="DF76" s="34">
        <f t="shared" si="91"/>
        <v>0</v>
      </c>
      <c r="DG76" s="35" t="s">
        <v>438</v>
      </c>
      <c r="DH76" s="35"/>
      <c r="DI76" s="35" t="str">
        <f t="shared" ref="DI76:DL76" si="92">DI63</f>
        <v>차지</v>
      </c>
      <c r="DJ76" s="35" t="str">
        <f t="shared" si="92"/>
        <v>방어력무시</v>
      </c>
      <c r="DK76" s="35">
        <f t="shared" si="92"/>
        <v>0</v>
      </c>
      <c r="DL76" s="34">
        <f t="shared" si="92"/>
        <v>0</v>
      </c>
      <c r="DM76" s="35"/>
      <c r="DN76" s="35"/>
      <c r="DO76" s="35" t="str">
        <f t="shared" ref="DO76:DR76" si="93">DO63</f>
        <v/>
      </c>
      <c r="DP76" s="35">
        <f t="shared" si="93"/>
        <v>0</v>
      </c>
      <c r="DQ76" s="35">
        <f t="shared" si="93"/>
        <v>0</v>
      </c>
      <c r="DR76" s="34">
        <f t="shared" si="93"/>
        <v>0</v>
      </c>
      <c r="DS76" s="35"/>
      <c r="DT76" s="35"/>
      <c r="DU76" s="35" t="str">
        <f t="shared" ref="DU76:DX76" si="94">DU63</f>
        <v/>
      </c>
      <c r="DV76" s="35">
        <f t="shared" si="94"/>
        <v>0</v>
      </c>
      <c r="DW76" s="35">
        <f t="shared" si="94"/>
        <v>0</v>
      </c>
      <c r="DX76" s="34">
        <f t="shared" si="94"/>
        <v>0</v>
      </c>
      <c r="DY76" s="35"/>
      <c r="DZ76" s="35"/>
      <c r="EA76" s="35" t="str">
        <f t="shared" ref="EA76:ED76" si="95">EA63</f>
        <v>차지</v>
      </c>
      <c r="EB76" s="35">
        <f t="shared" si="95"/>
        <v>0</v>
      </c>
      <c r="EC76" s="35">
        <f t="shared" si="95"/>
        <v>0</v>
      </c>
      <c r="ED76" s="34">
        <f t="shared" si="95"/>
        <v>0</v>
      </c>
      <c r="EE76" s="35"/>
      <c r="EF76" s="35"/>
      <c r="EG76" s="35" t="str">
        <f t="shared" ref="EG76:EJ76" si="96">EG63</f>
        <v>차지</v>
      </c>
      <c r="EH76" s="35">
        <f t="shared" si="96"/>
        <v>0</v>
      </c>
      <c r="EI76" s="35">
        <f t="shared" si="96"/>
        <v>0</v>
      </c>
      <c r="EJ76" s="34">
        <f t="shared" si="96"/>
        <v>0</v>
      </c>
      <c r="EK76" s="35"/>
      <c r="EL76" s="35"/>
      <c r="EM76" s="35" t="str">
        <f t="shared" ref="EM76:EP76" si="97">EM63</f>
        <v>차지</v>
      </c>
      <c r="EN76" s="35">
        <f t="shared" si="97"/>
        <v>0</v>
      </c>
      <c r="EO76" s="35">
        <f t="shared" si="97"/>
        <v>0</v>
      </c>
      <c r="EP76" s="34">
        <f t="shared" si="97"/>
        <v>0</v>
      </c>
      <c r="EQ76" s="35"/>
      <c r="ER76" s="35"/>
      <c r="ES76" s="35" t="str">
        <f t="shared" ref="ES76:EV76" si="98">ES63</f>
        <v/>
      </c>
      <c r="ET76" s="35">
        <f t="shared" si="98"/>
        <v>0</v>
      </c>
      <c r="EU76" s="35">
        <f t="shared" si="98"/>
        <v>0</v>
      </c>
      <c r="EV76" s="34">
        <f t="shared" si="98"/>
        <v>0</v>
      </c>
      <c r="EW76" s="35"/>
      <c r="EX76" s="35"/>
      <c r="EY76" s="35" t="str">
        <f t="shared" ref="EY76:FB76" si="99">EY63</f>
        <v/>
      </c>
      <c r="EZ76" s="35">
        <f t="shared" si="99"/>
        <v>0</v>
      </c>
      <c r="FA76" s="35">
        <f t="shared" si="99"/>
        <v>0</v>
      </c>
      <c r="FB76" s="34">
        <f t="shared" si="99"/>
        <v>0</v>
      </c>
      <c r="FC76" s="35"/>
      <c r="FD76" s="35"/>
      <c r="FE76" s="35" t="str">
        <f t="shared" ref="FE76:FH76" si="100">FE63</f>
        <v/>
      </c>
      <c r="FF76" s="35" t="str">
        <f t="shared" si="100"/>
        <v>지속</v>
      </c>
      <c r="FG76" s="35">
        <f t="shared" si="100"/>
        <v>0</v>
      </c>
      <c r="FH76" s="34">
        <f t="shared" si="100"/>
        <v>0</v>
      </c>
      <c r="FI76" s="35"/>
      <c r="FJ76" s="35"/>
      <c r="FK76" s="35" t="str">
        <f t="shared" ref="FK76:FN78" si="101">FK63</f>
        <v/>
      </c>
      <c r="FL76" s="35">
        <f t="shared" si="101"/>
        <v>0</v>
      </c>
      <c r="FM76" s="35">
        <f t="shared" si="101"/>
        <v>0</v>
      </c>
      <c r="FN76" s="34">
        <f t="shared" si="101"/>
        <v>0</v>
      </c>
      <c r="FO76" s="35"/>
      <c r="FP76" s="35"/>
      <c r="FQ76" s="35" t="str">
        <f t="shared" ref="FQ76:FT78" si="102">FQ63</f>
        <v>차지</v>
      </c>
      <c r="FR76" s="35">
        <f t="shared" si="102"/>
        <v>0</v>
      </c>
      <c r="FS76" s="35" t="str">
        <f t="shared" si="102"/>
        <v>관통</v>
      </c>
      <c r="FT76" s="34" t="str">
        <f t="shared" si="102"/>
        <v>방어력무시</v>
      </c>
      <c r="FU76" s="35"/>
      <c r="FV76" s="35"/>
      <c r="FW76" s="35" t="str">
        <f t="shared" ref="FW76:FZ78" si="103">FW63</f>
        <v>차지</v>
      </c>
      <c r="FX76" s="35">
        <f t="shared" si="103"/>
        <v>0</v>
      </c>
      <c r="FY76" s="35" t="str">
        <f t="shared" si="103"/>
        <v>관통</v>
      </c>
      <c r="FZ76" s="34" t="str">
        <f t="shared" si="103"/>
        <v>방어력무시</v>
      </c>
      <c r="GA76" s="35"/>
      <c r="GB76" s="35"/>
      <c r="GC76" s="35" t="str">
        <f t="shared" ref="GC76:GF76" si="104">GC63</f>
        <v/>
      </c>
      <c r="GD76" s="35">
        <f t="shared" si="104"/>
        <v>0</v>
      </c>
      <c r="GE76" s="35">
        <f t="shared" si="104"/>
        <v>0</v>
      </c>
      <c r="GF76" s="34">
        <f t="shared" si="104"/>
        <v>0</v>
      </c>
      <c r="GG76" s="35"/>
      <c r="GH76" s="35"/>
      <c r="GI76" s="35" t="str">
        <f t="shared" ref="GI76:GL76" si="105">GI63</f>
        <v>차지</v>
      </c>
      <c r="GJ76" s="35" t="str">
        <f t="shared" si="105"/>
        <v>지속</v>
      </c>
      <c r="GK76" s="35">
        <f t="shared" si="105"/>
        <v>0</v>
      </c>
      <c r="GL76" s="34">
        <f t="shared" si="105"/>
        <v>0</v>
      </c>
      <c r="GM76" s="35"/>
      <c r="GN76" s="35"/>
      <c r="GO76" s="35" t="str">
        <f t="shared" ref="GO76:GR76" si="106">GO63</f>
        <v>차지</v>
      </c>
      <c r="GP76" s="35" t="str">
        <f t="shared" si="106"/>
        <v>지속</v>
      </c>
      <c r="GQ76" s="35">
        <f t="shared" si="106"/>
        <v>0</v>
      </c>
      <c r="GR76" s="34">
        <f t="shared" si="106"/>
        <v>0</v>
      </c>
      <c r="GS76" s="35"/>
      <c r="GT76" s="35"/>
      <c r="GU76" s="35" t="str">
        <f t="shared" ref="GU76:GX76" si="107">GU63</f>
        <v/>
      </c>
      <c r="GV76" s="35">
        <f t="shared" si="107"/>
        <v>0</v>
      </c>
      <c r="GW76" s="35">
        <f t="shared" si="107"/>
        <v>0</v>
      </c>
      <c r="GX76" s="34" t="str">
        <f t="shared" si="107"/>
        <v>차지</v>
      </c>
      <c r="GY76" s="35"/>
      <c r="GZ76" s="35"/>
      <c r="HA76" s="35" t="str">
        <f t="shared" ref="HA76:HD76" si="108">HA63</f>
        <v>차지</v>
      </c>
      <c r="HB76" s="35" t="str">
        <f t="shared" si="108"/>
        <v>차지</v>
      </c>
      <c r="HC76" s="35">
        <f t="shared" si="108"/>
        <v>0</v>
      </c>
      <c r="HD76" s="34">
        <f t="shared" si="108"/>
        <v>0</v>
      </c>
      <c r="HE76" s="35" t="s">
        <v>158</v>
      </c>
      <c r="HF76" s="35"/>
      <c r="HG76" s="35" t="str">
        <f t="shared" ref="HG76:HJ76" si="109">HG63</f>
        <v>차지</v>
      </c>
      <c r="HH76" s="35" t="str">
        <f t="shared" si="109"/>
        <v>분배</v>
      </c>
      <c r="HI76" s="35">
        <f t="shared" si="109"/>
        <v>0</v>
      </c>
      <c r="HJ76" s="34">
        <f t="shared" si="109"/>
        <v>0</v>
      </c>
      <c r="HK76" s="35"/>
      <c r="HL76" s="35"/>
      <c r="HM76" s="35" t="str">
        <f t="shared" ref="HM76:HP76" si="110">HM63</f>
        <v/>
      </c>
      <c r="HN76" s="35">
        <f t="shared" si="110"/>
        <v>0</v>
      </c>
      <c r="HO76" s="35">
        <f t="shared" si="110"/>
        <v>0</v>
      </c>
      <c r="HP76" s="34">
        <f t="shared" si="110"/>
        <v>0</v>
      </c>
      <c r="HQ76" s="35"/>
      <c r="HR76" s="35"/>
      <c r="HS76" s="35" t="str">
        <f t="shared" ref="HS76:HV76" si="111">HS63</f>
        <v/>
      </c>
      <c r="HT76" s="35">
        <f t="shared" si="111"/>
        <v>0</v>
      </c>
      <c r="HU76" s="35">
        <f t="shared" si="111"/>
        <v>0</v>
      </c>
      <c r="HV76" s="34">
        <f t="shared" si="111"/>
        <v>0</v>
      </c>
      <c r="HW76" s="35"/>
      <c r="HX76" s="35"/>
      <c r="HY76" s="35" t="str">
        <f t="shared" ref="HY76:IB76" si="112">HY63</f>
        <v/>
      </c>
      <c r="HZ76" s="35" t="str">
        <f t="shared" si="112"/>
        <v>지속</v>
      </c>
      <c r="IA76" s="35">
        <f t="shared" si="112"/>
        <v>0</v>
      </c>
      <c r="IB76" s="34">
        <f t="shared" si="112"/>
        <v>0</v>
      </c>
      <c r="IC76" s="35"/>
      <c r="ID76" s="35"/>
      <c r="IE76" s="35" t="str">
        <f t="shared" ref="IE76:IH76" si="113">IE63</f>
        <v/>
      </c>
      <c r="IF76" s="35">
        <f t="shared" si="113"/>
        <v>0</v>
      </c>
      <c r="IG76" s="35">
        <f t="shared" si="113"/>
        <v>0</v>
      </c>
      <c r="IH76" s="34">
        <f t="shared" si="113"/>
        <v>0</v>
      </c>
      <c r="II76" s="35"/>
      <c r="IJ76" s="35"/>
      <c r="IK76" s="35" t="str">
        <f t="shared" ref="IK76:IN76" si="114">IK63</f>
        <v/>
      </c>
      <c r="IL76" s="35">
        <f t="shared" si="114"/>
        <v>0</v>
      </c>
      <c r="IM76" s="35">
        <f t="shared" si="114"/>
        <v>0</v>
      </c>
      <c r="IN76" s="34">
        <f t="shared" si="114"/>
        <v>0</v>
      </c>
      <c r="IO76" s="35"/>
      <c r="IP76" s="35"/>
      <c r="IQ76" s="35" t="str">
        <f t="shared" ref="IQ76:IT76" si="115">IQ63</f>
        <v/>
      </c>
      <c r="IR76" s="35">
        <f t="shared" si="115"/>
        <v>0</v>
      </c>
      <c r="IS76" s="35">
        <f t="shared" si="115"/>
        <v>0</v>
      </c>
      <c r="IT76" s="34">
        <f t="shared" si="115"/>
        <v>0</v>
      </c>
      <c r="IU76" s="35"/>
      <c r="IV76" s="35"/>
      <c r="IW76" s="35" t="str">
        <f t="shared" si="53"/>
        <v/>
      </c>
      <c r="IX76" s="35">
        <f t="shared" si="53"/>
        <v>0</v>
      </c>
      <c r="IY76" s="35">
        <f t="shared" si="53"/>
        <v>0</v>
      </c>
      <c r="IZ76" s="34">
        <f t="shared" si="53"/>
        <v>0</v>
      </c>
      <c r="JA76" s="35"/>
      <c r="JB76" s="35"/>
      <c r="JC76" s="35" t="str">
        <f t="shared" ref="JC76:JF76" si="116">JC63</f>
        <v>차지</v>
      </c>
      <c r="JD76" s="35" t="str">
        <f t="shared" si="116"/>
        <v>분배</v>
      </c>
      <c r="JE76" s="35">
        <f t="shared" si="116"/>
        <v>0</v>
      </c>
      <c r="JF76" s="34">
        <f t="shared" si="116"/>
        <v>0</v>
      </c>
      <c r="JG76" s="35"/>
      <c r="JH76" s="35"/>
      <c r="JI76" s="35" t="str">
        <f t="shared" si="55"/>
        <v>차지</v>
      </c>
      <c r="JJ76" s="35" t="str">
        <f t="shared" si="55"/>
        <v>지속</v>
      </c>
      <c r="JK76" s="35">
        <f t="shared" si="55"/>
        <v>0</v>
      </c>
      <c r="JL76" s="34">
        <f t="shared" si="55"/>
        <v>0</v>
      </c>
      <c r="JM76" s="35"/>
      <c r="JN76" s="35"/>
      <c r="JO76" s="35" t="str">
        <f t="shared" ref="JO76:JR76" si="117">JO63</f>
        <v/>
      </c>
      <c r="JP76" s="35">
        <f t="shared" si="117"/>
        <v>0</v>
      </c>
      <c r="JQ76" s="35">
        <f t="shared" si="117"/>
        <v>0</v>
      </c>
      <c r="JR76" s="34">
        <f t="shared" si="117"/>
        <v>0</v>
      </c>
      <c r="JS76" s="35"/>
      <c r="JT76" s="35"/>
      <c r="JU76" s="35" t="str">
        <f t="shared" ref="JU76:JX76" si="118">JU63</f>
        <v>차지</v>
      </c>
      <c r="JV76" s="35" t="str">
        <f t="shared" si="118"/>
        <v>차지</v>
      </c>
      <c r="JW76" s="35" t="str">
        <f t="shared" si="118"/>
        <v>방어력무시</v>
      </c>
      <c r="JX76" s="34">
        <f t="shared" si="118"/>
        <v>0</v>
      </c>
      <c r="JY76" s="35"/>
      <c r="JZ76" s="35"/>
      <c r="KA76" s="35" t="str">
        <f t="shared" ref="KA76:KD76" si="119">KA63</f>
        <v>차지</v>
      </c>
      <c r="KB76" s="35" t="str">
        <f t="shared" si="119"/>
        <v>차지</v>
      </c>
      <c r="KC76" s="35" t="str">
        <f t="shared" si="119"/>
        <v>방어력무시</v>
      </c>
      <c r="KD76" s="34">
        <f t="shared" si="119"/>
        <v>0</v>
      </c>
      <c r="KE76" s="35"/>
      <c r="KF76" s="35"/>
      <c r="KG76" s="35"/>
      <c r="KH76" s="35" t="str">
        <f t="shared" ref="KH76:KJ76" si="120">KH63</f>
        <v>지속</v>
      </c>
      <c r="KI76" s="35">
        <f t="shared" si="120"/>
        <v>0</v>
      </c>
      <c r="KJ76" s="34">
        <f t="shared" si="120"/>
        <v>0</v>
      </c>
      <c r="KK76" s="35"/>
      <c r="KL76" s="35"/>
      <c r="KM76" s="35" t="str">
        <f t="shared" ref="KM76:KP76" si="121">KM63</f>
        <v/>
      </c>
      <c r="KN76" s="35">
        <f t="shared" si="121"/>
        <v>0</v>
      </c>
      <c r="KO76" s="35">
        <f t="shared" si="121"/>
        <v>0</v>
      </c>
      <c r="KP76" s="34">
        <f t="shared" si="121"/>
        <v>0</v>
      </c>
      <c r="KQ76" s="35"/>
      <c r="KR76" s="35"/>
      <c r="KS76" s="35" t="str">
        <f t="shared" ref="KS76:KV76" si="122">KS63</f>
        <v/>
      </c>
      <c r="KT76" s="35">
        <f t="shared" si="122"/>
        <v>0</v>
      </c>
      <c r="KU76" s="35">
        <f t="shared" si="122"/>
        <v>0</v>
      </c>
      <c r="KV76" s="34">
        <f t="shared" si="122"/>
        <v>0</v>
      </c>
      <c r="KW76" s="35"/>
      <c r="KX76" s="35"/>
      <c r="KY76" s="35" t="str">
        <f t="shared" ref="KY76:LB76" si="123">KY63</f>
        <v/>
      </c>
      <c r="KZ76" s="35" t="str">
        <f t="shared" si="123"/>
        <v>발사체부착</v>
      </c>
      <c r="LA76" s="35" t="str">
        <f t="shared" si="123"/>
        <v>발사체폭발</v>
      </c>
      <c r="LB76" s="34">
        <f t="shared" si="123"/>
        <v>0</v>
      </c>
      <c r="LC76" s="35"/>
      <c r="LD76" s="35"/>
      <c r="LE76" s="35" t="str">
        <f t="shared" ref="LE76:LH76" si="124">LE63</f>
        <v/>
      </c>
      <c r="LF76" s="35" t="str">
        <f t="shared" si="124"/>
        <v>차지</v>
      </c>
      <c r="LG76" s="35">
        <f t="shared" si="124"/>
        <v>0</v>
      </c>
      <c r="LH76" s="34">
        <f t="shared" si="124"/>
        <v>0</v>
      </c>
      <c r="LI76" s="35"/>
      <c r="LJ76" s="35"/>
      <c r="LK76" s="35" t="str">
        <f t="shared" ref="LK76:LN76" si="125">LK63</f>
        <v/>
      </c>
      <c r="LL76" s="35">
        <f t="shared" si="125"/>
        <v>0</v>
      </c>
      <c r="LM76" s="35">
        <f t="shared" si="125"/>
        <v>0</v>
      </c>
      <c r="LN76" s="34">
        <f t="shared" si="125"/>
        <v>0</v>
      </c>
      <c r="LO76" s="35"/>
      <c r="LP76" s="35"/>
      <c r="LQ76" s="35" t="str">
        <f t="shared" ref="LQ76:LT76" si="126">LQ63</f>
        <v>차지</v>
      </c>
      <c r="LR76" s="35">
        <f t="shared" si="126"/>
        <v>0</v>
      </c>
      <c r="LS76" s="35">
        <f t="shared" si="126"/>
        <v>0</v>
      </c>
      <c r="LT76" s="34">
        <f t="shared" si="126"/>
        <v>0</v>
      </c>
      <c r="LU76" s="35"/>
      <c r="LV76" s="35"/>
      <c r="LW76" s="35" t="str">
        <f t="shared" ref="LW76:LZ76" si="127">LW63</f>
        <v>차지</v>
      </c>
      <c r="LX76" s="35" t="str">
        <f t="shared" si="127"/>
        <v>지속</v>
      </c>
      <c r="LY76" s="35" t="str">
        <f t="shared" si="127"/>
        <v>지속</v>
      </c>
      <c r="LZ76" s="34">
        <f t="shared" si="127"/>
        <v>0</v>
      </c>
      <c r="MA76" s="35"/>
      <c r="MB76" s="35"/>
      <c r="MC76" s="35" t="str">
        <f t="shared" ref="MC76:MF76" si="128">MC63</f>
        <v/>
      </c>
      <c r="MD76" s="35">
        <f t="shared" si="128"/>
        <v>0</v>
      </c>
      <c r="ME76" s="35">
        <f t="shared" si="128"/>
        <v>0</v>
      </c>
      <c r="MF76" s="34">
        <f t="shared" si="128"/>
        <v>0</v>
      </c>
      <c r="MG76" s="35"/>
      <c r="MH76" s="35"/>
      <c r="MI76" s="35" t="str">
        <f t="shared" ref="MI76:ML78" si="129">MI63</f>
        <v>관통</v>
      </c>
      <c r="MJ76" s="35">
        <f t="shared" si="129"/>
        <v>0</v>
      </c>
      <c r="MK76" s="35">
        <f t="shared" si="129"/>
        <v>0</v>
      </c>
      <c r="ML76" s="34">
        <f t="shared" si="129"/>
        <v>0</v>
      </c>
      <c r="MM76" s="35"/>
      <c r="MN76" s="35"/>
      <c r="MO76" s="35" t="str">
        <f t="shared" ref="MO76:MR76" si="130">MO63</f>
        <v>차지</v>
      </c>
      <c r="MP76" s="35" t="str">
        <f t="shared" si="130"/>
        <v>방어력무시</v>
      </c>
      <c r="MQ76" s="35">
        <f t="shared" si="130"/>
        <v>0</v>
      </c>
      <c r="MR76" s="34">
        <f t="shared" si="130"/>
        <v>0</v>
      </c>
      <c r="MS76" s="35"/>
      <c r="MT76" s="35"/>
      <c r="MU76" s="35" t="str">
        <f t="shared" ref="MU76:MX76" si="131">MU63</f>
        <v>차지</v>
      </c>
      <c r="MV76" s="35" t="str">
        <f t="shared" si="131"/>
        <v>차지</v>
      </c>
      <c r="MW76" s="35">
        <f t="shared" si="131"/>
        <v>0</v>
      </c>
      <c r="MX76" s="34" t="str">
        <f t="shared" si="131"/>
        <v>순차공격</v>
      </c>
      <c r="MY76" s="35"/>
      <c r="MZ76" s="35"/>
      <c r="NA76" s="35" t="str">
        <f t="shared" ref="NA76:ND76" si="132">NA63</f>
        <v>차지</v>
      </c>
      <c r="NB76" s="35">
        <f t="shared" si="132"/>
        <v>0</v>
      </c>
      <c r="NC76" s="35">
        <f t="shared" si="132"/>
        <v>0</v>
      </c>
      <c r="ND76" s="34">
        <f t="shared" si="132"/>
        <v>0</v>
      </c>
      <c r="NE76" s="35"/>
      <c r="NF76" s="35"/>
      <c r="NG76" s="35" t="str">
        <f t="shared" ref="NG76:NJ76" si="133">NG63</f>
        <v/>
      </c>
      <c r="NH76" s="35">
        <f t="shared" si="133"/>
        <v>0</v>
      </c>
      <c r="NI76" s="35">
        <f t="shared" si="133"/>
        <v>0</v>
      </c>
      <c r="NJ76" s="34">
        <f t="shared" si="133"/>
        <v>0</v>
      </c>
    </row>
    <row r="77" spans="1:374" s="33" customFormat="1" x14ac:dyDescent="0.45">
      <c r="A77" s="274"/>
      <c r="B77" s="33" t="s">
        <v>440</v>
      </c>
      <c r="C77" s="35"/>
      <c r="D77" s="35"/>
      <c r="E77" s="35" t="str">
        <f t="shared" ref="E77:H77" si="134">E64</f>
        <v/>
      </c>
      <c r="F77" s="35">
        <f t="shared" si="134"/>
        <v>0</v>
      </c>
      <c r="G77" s="35">
        <f t="shared" si="134"/>
        <v>0</v>
      </c>
      <c r="H77" s="34">
        <f t="shared" si="134"/>
        <v>0</v>
      </c>
      <c r="I77" s="35"/>
      <c r="J77" s="35"/>
      <c r="K77" s="35" t="str">
        <f t="shared" ref="K77:N77" si="135">K64</f>
        <v>발사체폭발</v>
      </c>
      <c r="L77" s="35">
        <f t="shared" si="135"/>
        <v>0</v>
      </c>
      <c r="M77" s="35">
        <f t="shared" si="135"/>
        <v>0</v>
      </c>
      <c r="N77" s="34">
        <f t="shared" si="135"/>
        <v>0</v>
      </c>
      <c r="O77" s="35"/>
      <c r="P77" s="35"/>
      <c r="Q77" s="35" t="str">
        <f t="shared" ref="Q77:T77" si="136">Q64</f>
        <v>발사체폭발</v>
      </c>
      <c r="R77" s="35">
        <f t="shared" si="136"/>
        <v>0</v>
      </c>
      <c r="S77" s="35">
        <f t="shared" si="136"/>
        <v>0</v>
      </c>
      <c r="T77" s="34">
        <f t="shared" si="136"/>
        <v>0</v>
      </c>
      <c r="U77" s="35"/>
      <c r="V77" s="35"/>
      <c r="W77" s="35" t="str">
        <f t="shared" ref="W77:Z77" si="137">W64</f>
        <v>발사체폭발</v>
      </c>
      <c r="X77" s="35">
        <f t="shared" si="137"/>
        <v>0</v>
      </c>
      <c r="Y77" s="35">
        <f t="shared" si="137"/>
        <v>0</v>
      </c>
      <c r="Z77" s="34">
        <f t="shared" si="137"/>
        <v>0</v>
      </c>
      <c r="AA77" s="35"/>
      <c r="AB77" s="35"/>
      <c r="AC77" s="35" t="str">
        <f t="shared" ref="AC77:AF77" si="138">AC64</f>
        <v/>
      </c>
      <c r="AD77" s="35">
        <f t="shared" si="138"/>
        <v>0</v>
      </c>
      <c r="AE77" s="35">
        <f t="shared" si="138"/>
        <v>0</v>
      </c>
      <c r="AF77" s="34">
        <f t="shared" si="138"/>
        <v>0</v>
      </c>
      <c r="AG77" s="35"/>
      <c r="AH77" s="35"/>
      <c r="AI77" s="35" t="str">
        <f t="shared" ref="AI77:AL77" si="139">AI64</f>
        <v/>
      </c>
      <c r="AJ77" s="35">
        <f t="shared" si="139"/>
        <v>0</v>
      </c>
      <c r="AK77" s="35">
        <f t="shared" si="139"/>
        <v>0</v>
      </c>
      <c r="AL77" s="34">
        <f t="shared" si="139"/>
        <v>0</v>
      </c>
      <c r="AM77" s="35"/>
      <c r="AN77" s="35"/>
      <c r="AO77" s="35" t="str">
        <f t="shared" ref="AO77:AR77" si="140">AO64</f>
        <v/>
      </c>
      <c r="AP77" s="35">
        <f t="shared" si="140"/>
        <v>0</v>
      </c>
      <c r="AQ77" s="35">
        <f t="shared" si="140"/>
        <v>0</v>
      </c>
      <c r="AR77" s="34">
        <f t="shared" si="140"/>
        <v>0</v>
      </c>
      <c r="AS77" s="35"/>
      <c r="AT77" s="35"/>
      <c r="AU77" s="35" t="str">
        <f t="shared" ref="AU77:AX77" si="141">AU64</f>
        <v/>
      </c>
      <c r="AV77" s="35" t="str">
        <f t="shared" si="141"/>
        <v>???</v>
      </c>
      <c r="AW77" s="35">
        <f t="shared" si="141"/>
        <v>0</v>
      </c>
      <c r="AX77" s="34">
        <f t="shared" si="141"/>
        <v>0</v>
      </c>
      <c r="AY77" s="35"/>
      <c r="AZ77" s="35"/>
      <c r="BA77" s="35" t="str">
        <f t="shared" ref="BA77:BD77" si="142">BA64</f>
        <v/>
      </c>
      <c r="BB77" s="35" t="str">
        <f t="shared" si="142"/>
        <v>???</v>
      </c>
      <c r="BC77" s="35">
        <f t="shared" si="142"/>
        <v>0</v>
      </c>
      <c r="BD77" s="34">
        <f t="shared" si="142"/>
        <v>0</v>
      </c>
      <c r="BE77" s="35"/>
      <c r="BF77" s="35"/>
      <c r="BG77" s="35" t="str">
        <f t="shared" ref="BG77:BJ77" si="143">BG64</f>
        <v/>
      </c>
      <c r="BH77" s="35">
        <f t="shared" si="143"/>
        <v>0</v>
      </c>
      <c r="BI77" s="35">
        <f t="shared" si="143"/>
        <v>0</v>
      </c>
      <c r="BJ77" s="34">
        <f t="shared" si="143"/>
        <v>0</v>
      </c>
      <c r="BK77" s="35"/>
      <c r="BL77" s="35"/>
      <c r="BM77" s="35" t="str">
        <f t="shared" ref="BM77:BP77" si="144">BM64</f>
        <v>관통</v>
      </c>
      <c r="BN77" s="35" t="str">
        <f t="shared" si="144"/>
        <v>관통</v>
      </c>
      <c r="BO77" s="35">
        <f t="shared" si="144"/>
        <v>0</v>
      </c>
      <c r="BP77" s="34">
        <f t="shared" si="144"/>
        <v>0</v>
      </c>
      <c r="BQ77" s="35"/>
      <c r="BR77" s="35"/>
      <c r="BS77" s="35" t="str">
        <f t="shared" ref="BS77:BV77" si="145">BS64</f>
        <v/>
      </c>
      <c r="BT77" s="35">
        <f t="shared" si="145"/>
        <v>0</v>
      </c>
      <c r="BU77" s="35">
        <f t="shared" si="145"/>
        <v>0</v>
      </c>
      <c r="BV77" s="34">
        <f t="shared" si="145"/>
        <v>0</v>
      </c>
      <c r="BW77" s="35"/>
      <c r="BX77" s="35"/>
      <c r="BY77" s="35" t="str">
        <f t="shared" ref="BY77:CB77" si="146">BY64</f>
        <v/>
      </c>
      <c r="BZ77" s="35">
        <f t="shared" si="146"/>
        <v>0</v>
      </c>
      <c r="CA77" s="35">
        <f t="shared" si="146"/>
        <v>0</v>
      </c>
      <c r="CB77" s="34">
        <f t="shared" si="146"/>
        <v>0</v>
      </c>
      <c r="CC77" s="35"/>
      <c r="CD77" s="35"/>
      <c r="CE77" s="35" t="str">
        <f t="shared" ref="CE77:CH77" si="147">CE64</f>
        <v/>
      </c>
      <c r="CF77" s="35">
        <f t="shared" si="147"/>
        <v>0</v>
      </c>
      <c r="CG77" s="35">
        <f t="shared" si="147"/>
        <v>0</v>
      </c>
      <c r="CH77" s="34">
        <f t="shared" si="147"/>
        <v>0</v>
      </c>
      <c r="CI77" s="35"/>
      <c r="CJ77" s="35"/>
      <c r="CK77" s="35" t="str">
        <f t="shared" ref="CK77:CN77" si="148">CK64</f>
        <v/>
      </c>
      <c r="CL77" s="35">
        <f t="shared" si="148"/>
        <v>0</v>
      </c>
      <c r="CM77" s="35">
        <f t="shared" si="148"/>
        <v>0</v>
      </c>
      <c r="CN77" s="34">
        <f t="shared" si="148"/>
        <v>0</v>
      </c>
      <c r="CO77" s="35"/>
      <c r="CP77" s="35"/>
      <c r="CQ77" s="35" t="str">
        <f t="shared" ref="CQ77:CT77" si="149">CQ64</f>
        <v/>
      </c>
      <c r="CR77" s="35">
        <f t="shared" si="149"/>
        <v>0</v>
      </c>
      <c r="CS77" s="35">
        <f t="shared" si="149"/>
        <v>0</v>
      </c>
      <c r="CT77" s="34">
        <f t="shared" si="149"/>
        <v>0</v>
      </c>
      <c r="CU77" s="35"/>
      <c r="CV77" s="35"/>
      <c r="CW77" s="35" t="str">
        <f t="shared" ref="CW77:CZ77" si="150">CW64</f>
        <v/>
      </c>
      <c r="CX77" s="35">
        <f t="shared" si="150"/>
        <v>0</v>
      </c>
      <c r="CY77" s="35">
        <f t="shared" si="150"/>
        <v>0</v>
      </c>
      <c r="CZ77" s="34">
        <f t="shared" si="150"/>
        <v>0</v>
      </c>
      <c r="DA77" s="35"/>
      <c r="DB77" s="35"/>
      <c r="DC77" s="35" t="str">
        <f t="shared" ref="DC77:DF77" si="151">DC64</f>
        <v/>
      </c>
      <c r="DD77" s="35">
        <f t="shared" si="151"/>
        <v>0</v>
      </c>
      <c r="DE77" s="35">
        <f t="shared" si="151"/>
        <v>0</v>
      </c>
      <c r="DF77" s="34">
        <f t="shared" si="151"/>
        <v>0</v>
      </c>
      <c r="DG77" s="35"/>
      <c r="DH77" s="35"/>
      <c r="DI77" s="35" t="str">
        <f t="shared" ref="DI77:DL77" si="152">DI64</f>
        <v/>
      </c>
      <c r="DJ77" s="35">
        <f t="shared" si="152"/>
        <v>0</v>
      </c>
      <c r="DK77" s="35">
        <f t="shared" si="152"/>
        <v>0</v>
      </c>
      <c r="DL77" s="34">
        <f t="shared" si="152"/>
        <v>0</v>
      </c>
      <c r="DM77" s="35"/>
      <c r="DN77" s="35"/>
      <c r="DO77" s="35" t="str">
        <f t="shared" ref="DO77:DR77" si="153">DO64</f>
        <v/>
      </c>
      <c r="DP77" s="35">
        <f t="shared" si="153"/>
        <v>0</v>
      </c>
      <c r="DQ77" s="35">
        <f t="shared" si="153"/>
        <v>0</v>
      </c>
      <c r="DR77" s="34">
        <f t="shared" si="153"/>
        <v>0</v>
      </c>
      <c r="DS77" s="35"/>
      <c r="DT77" s="35"/>
      <c r="DU77" s="35" t="str">
        <f t="shared" ref="DU77:DX77" si="154">DU64</f>
        <v/>
      </c>
      <c r="DV77" s="35">
        <f t="shared" si="154"/>
        <v>0</v>
      </c>
      <c r="DW77" s="35">
        <f t="shared" si="154"/>
        <v>0</v>
      </c>
      <c r="DX77" s="34">
        <f t="shared" si="154"/>
        <v>0</v>
      </c>
      <c r="DY77" s="35"/>
      <c r="DZ77" s="35"/>
      <c r="EA77" s="35" t="str">
        <f t="shared" ref="EA77:ED77" si="155">EA64</f>
        <v>발사체폭발</v>
      </c>
      <c r="EB77" s="35">
        <f t="shared" si="155"/>
        <v>0</v>
      </c>
      <c r="EC77" s="35">
        <f t="shared" si="155"/>
        <v>0</v>
      </c>
      <c r="ED77" s="34">
        <f t="shared" si="155"/>
        <v>0</v>
      </c>
      <c r="EE77" s="35"/>
      <c r="EF77" s="35"/>
      <c r="EG77" s="35" t="str">
        <f t="shared" ref="EG77:EJ77" si="156">EG64</f>
        <v>발사체폭발</v>
      </c>
      <c r="EH77" s="35">
        <f t="shared" si="156"/>
        <v>0</v>
      </c>
      <c r="EI77" s="35">
        <f t="shared" si="156"/>
        <v>0</v>
      </c>
      <c r="EJ77" s="34">
        <f t="shared" si="156"/>
        <v>0</v>
      </c>
      <c r="EK77" s="35"/>
      <c r="EL77" s="35"/>
      <c r="EM77" s="35" t="str">
        <f t="shared" ref="EM77:EP77" si="157">EM64</f>
        <v/>
      </c>
      <c r="EN77" s="35">
        <f t="shared" si="157"/>
        <v>0</v>
      </c>
      <c r="EO77" s="35">
        <f t="shared" si="157"/>
        <v>0</v>
      </c>
      <c r="EP77" s="34">
        <f t="shared" si="157"/>
        <v>0</v>
      </c>
      <c r="EQ77" s="35"/>
      <c r="ER77" s="35"/>
      <c r="ES77" s="35" t="str">
        <f t="shared" ref="ES77:EV77" si="158">ES64</f>
        <v/>
      </c>
      <c r="ET77" s="35">
        <f t="shared" si="158"/>
        <v>0</v>
      </c>
      <c r="EU77" s="35">
        <f t="shared" si="158"/>
        <v>0</v>
      </c>
      <c r="EV77" s="34">
        <f t="shared" si="158"/>
        <v>0</v>
      </c>
      <c r="EW77" s="35"/>
      <c r="EX77" s="35"/>
      <c r="EY77" s="35" t="str">
        <f t="shared" ref="EY77:FB77" si="159">EY64</f>
        <v/>
      </c>
      <c r="EZ77" s="35">
        <f t="shared" si="159"/>
        <v>0</v>
      </c>
      <c r="FA77" s="35">
        <f t="shared" si="159"/>
        <v>0</v>
      </c>
      <c r="FB77" s="34">
        <f t="shared" si="159"/>
        <v>0</v>
      </c>
      <c r="FC77" s="35"/>
      <c r="FD77" s="35"/>
      <c r="FE77" s="35" t="str">
        <f t="shared" ref="FE77:FH77" si="160">FE64</f>
        <v/>
      </c>
      <c r="FF77" s="35">
        <f t="shared" si="160"/>
        <v>0</v>
      </c>
      <c r="FG77" s="35">
        <f t="shared" si="160"/>
        <v>0</v>
      </c>
      <c r="FH77" s="34">
        <f t="shared" si="160"/>
        <v>0</v>
      </c>
      <c r="FI77" s="35"/>
      <c r="FJ77" s="35"/>
      <c r="FK77" s="35" t="str">
        <f t="shared" si="101"/>
        <v/>
      </c>
      <c r="FL77" s="35">
        <f t="shared" si="101"/>
        <v>0</v>
      </c>
      <c r="FM77" s="35">
        <f t="shared" si="101"/>
        <v>0</v>
      </c>
      <c r="FN77" s="34">
        <f t="shared" si="101"/>
        <v>0</v>
      </c>
      <c r="FO77" s="35"/>
      <c r="FP77" s="35"/>
      <c r="FQ77" s="35" t="str">
        <f t="shared" si="102"/>
        <v>발사체폭발</v>
      </c>
      <c r="FR77" s="35">
        <f t="shared" si="102"/>
        <v>0</v>
      </c>
      <c r="FS77" s="35" t="str">
        <f t="shared" si="102"/>
        <v>방어력무시</v>
      </c>
      <c r="FT77" s="34">
        <f t="shared" si="102"/>
        <v>0</v>
      </c>
      <c r="FU77" s="35"/>
      <c r="FV77" s="35"/>
      <c r="FW77" s="35" t="str">
        <f t="shared" si="103"/>
        <v>발사체폭발</v>
      </c>
      <c r="FX77" s="35">
        <f t="shared" si="103"/>
        <v>0</v>
      </c>
      <c r="FY77" s="35" t="str">
        <f t="shared" si="103"/>
        <v>방어력무시</v>
      </c>
      <c r="FZ77" s="34">
        <f t="shared" si="103"/>
        <v>0</v>
      </c>
      <c r="GA77" s="35"/>
      <c r="GB77" s="35"/>
      <c r="GC77" s="35" t="str">
        <f t="shared" ref="GC77:GF77" si="161">GC64</f>
        <v/>
      </c>
      <c r="GD77" s="35">
        <f t="shared" si="161"/>
        <v>0</v>
      </c>
      <c r="GE77" s="35">
        <f t="shared" si="161"/>
        <v>0</v>
      </c>
      <c r="GF77" s="34">
        <f t="shared" si="161"/>
        <v>0</v>
      </c>
      <c r="GG77" s="35"/>
      <c r="GH77" s="35"/>
      <c r="GI77" s="35" t="str">
        <f t="shared" ref="GI77:GL77" si="162">GI64</f>
        <v>발사체폭발</v>
      </c>
      <c r="GJ77" s="35">
        <f t="shared" si="162"/>
        <v>0</v>
      </c>
      <c r="GK77" s="35">
        <f t="shared" si="162"/>
        <v>0</v>
      </c>
      <c r="GL77" s="34">
        <f t="shared" si="162"/>
        <v>0</v>
      </c>
      <c r="GM77" s="35"/>
      <c r="GN77" s="35"/>
      <c r="GO77" s="35" t="str">
        <f t="shared" ref="GO77:GR77" si="163">GO64</f>
        <v>발사체폭발</v>
      </c>
      <c r="GP77" s="35">
        <f t="shared" si="163"/>
        <v>0</v>
      </c>
      <c r="GQ77" s="35">
        <f t="shared" si="163"/>
        <v>0</v>
      </c>
      <c r="GR77" s="34">
        <f t="shared" si="163"/>
        <v>0</v>
      </c>
      <c r="GS77" s="35"/>
      <c r="GT77" s="35"/>
      <c r="GU77" s="35" t="str">
        <f t="shared" ref="GU77:GX77" si="164">GU64</f>
        <v/>
      </c>
      <c r="GV77" s="35">
        <f t="shared" si="164"/>
        <v>0</v>
      </c>
      <c r="GW77" s="35">
        <f t="shared" si="164"/>
        <v>0</v>
      </c>
      <c r="GX77" s="34" t="str">
        <f t="shared" si="164"/>
        <v>관통</v>
      </c>
      <c r="GY77" s="35"/>
      <c r="GZ77" s="35"/>
      <c r="HA77" s="35" t="str">
        <f t="shared" ref="HA77:HD77" si="165">HA64</f>
        <v/>
      </c>
      <c r="HB77" s="35" t="str">
        <f t="shared" si="165"/>
        <v>관통</v>
      </c>
      <c r="HC77" s="35">
        <f t="shared" si="165"/>
        <v>0</v>
      </c>
      <c r="HD77" s="34">
        <f t="shared" si="165"/>
        <v>0</v>
      </c>
      <c r="HE77" s="35"/>
      <c r="HF77" s="35"/>
      <c r="HG77" s="35" t="str">
        <f t="shared" ref="HG77:HJ77" si="166">HG64</f>
        <v>관통</v>
      </c>
      <c r="HH77" s="35">
        <f t="shared" si="166"/>
        <v>0</v>
      </c>
      <c r="HI77" s="35">
        <f t="shared" si="166"/>
        <v>0</v>
      </c>
      <c r="HJ77" s="34">
        <f t="shared" si="166"/>
        <v>0</v>
      </c>
      <c r="HK77" s="35"/>
      <c r="HL77" s="35"/>
      <c r="HM77" s="35" t="str">
        <f t="shared" ref="HM77:HP77" si="167">HM64</f>
        <v/>
      </c>
      <c r="HN77" s="35">
        <f t="shared" si="167"/>
        <v>0</v>
      </c>
      <c r="HO77" s="35">
        <f t="shared" si="167"/>
        <v>0</v>
      </c>
      <c r="HP77" s="34">
        <f t="shared" si="167"/>
        <v>0</v>
      </c>
      <c r="HQ77" s="35"/>
      <c r="HR77" s="35"/>
      <c r="HS77" s="35" t="str">
        <f t="shared" ref="HS77:HV77" si="168">HS64</f>
        <v/>
      </c>
      <c r="HT77" s="35">
        <f t="shared" si="168"/>
        <v>0</v>
      </c>
      <c r="HU77" s="35">
        <f t="shared" si="168"/>
        <v>0</v>
      </c>
      <c r="HV77" s="34">
        <f t="shared" si="168"/>
        <v>0</v>
      </c>
      <c r="HW77" s="35"/>
      <c r="HX77" s="35"/>
      <c r="HY77" s="35" t="str">
        <f t="shared" ref="HY77:IB77" si="169">HY64</f>
        <v/>
      </c>
      <c r="HZ77" s="35">
        <f t="shared" si="169"/>
        <v>0</v>
      </c>
      <c r="IA77" s="35">
        <f t="shared" si="169"/>
        <v>0</v>
      </c>
      <c r="IB77" s="34">
        <f t="shared" si="169"/>
        <v>0</v>
      </c>
      <c r="IC77" s="35"/>
      <c r="ID77" s="35"/>
      <c r="IE77" s="35" t="str">
        <f t="shared" ref="IE77:IH77" si="170">IE64</f>
        <v/>
      </c>
      <c r="IF77" s="35">
        <f t="shared" si="170"/>
        <v>0</v>
      </c>
      <c r="IG77" s="35">
        <f t="shared" si="170"/>
        <v>0</v>
      </c>
      <c r="IH77" s="34">
        <f t="shared" si="170"/>
        <v>0</v>
      </c>
      <c r="II77" s="35"/>
      <c r="IJ77" s="35"/>
      <c r="IK77" s="35" t="str">
        <f t="shared" ref="IK77:IN77" si="171">IK64</f>
        <v/>
      </c>
      <c r="IL77" s="35">
        <f t="shared" si="171"/>
        <v>0</v>
      </c>
      <c r="IM77" s="35">
        <f t="shared" si="171"/>
        <v>0</v>
      </c>
      <c r="IN77" s="34">
        <f t="shared" si="171"/>
        <v>0</v>
      </c>
      <c r="IO77" s="35"/>
      <c r="IP77" s="35"/>
      <c r="IQ77" s="35" t="str">
        <f t="shared" ref="IQ77:IT77" si="172">IQ64</f>
        <v/>
      </c>
      <c r="IR77" s="35">
        <f t="shared" si="172"/>
        <v>0</v>
      </c>
      <c r="IS77" s="35">
        <f t="shared" si="172"/>
        <v>0</v>
      </c>
      <c r="IT77" s="34">
        <f t="shared" si="172"/>
        <v>0</v>
      </c>
      <c r="IU77" s="35"/>
      <c r="IV77" s="35"/>
      <c r="IW77" s="35" t="str">
        <f t="shared" si="53"/>
        <v/>
      </c>
      <c r="IX77" s="35">
        <f t="shared" si="53"/>
        <v>0</v>
      </c>
      <c r="IY77" s="35">
        <f t="shared" si="53"/>
        <v>0</v>
      </c>
      <c r="IZ77" s="34">
        <f t="shared" si="53"/>
        <v>0</v>
      </c>
      <c r="JA77" s="35"/>
      <c r="JB77" s="35"/>
      <c r="JC77" s="35" t="str">
        <f t="shared" ref="JC77:JF77" si="173">JC64</f>
        <v/>
      </c>
      <c r="JD77" s="35">
        <f t="shared" si="173"/>
        <v>0</v>
      </c>
      <c r="JE77" s="35">
        <f t="shared" si="173"/>
        <v>0</v>
      </c>
      <c r="JF77" s="34">
        <f t="shared" si="173"/>
        <v>0</v>
      </c>
      <c r="JG77" s="35"/>
      <c r="JH77" s="35"/>
      <c r="JI77" s="35" t="str">
        <f t="shared" si="55"/>
        <v/>
      </c>
      <c r="JJ77" s="35">
        <f t="shared" si="55"/>
        <v>0</v>
      </c>
      <c r="JK77" s="35">
        <f t="shared" si="55"/>
        <v>0</v>
      </c>
      <c r="JL77" s="34">
        <f t="shared" si="55"/>
        <v>0</v>
      </c>
      <c r="JM77" s="35"/>
      <c r="JN77" s="35"/>
      <c r="JO77" s="35" t="str">
        <f t="shared" ref="JO77:JR77" si="174">JO64</f>
        <v/>
      </c>
      <c r="JP77" s="35">
        <f t="shared" si="174"/>
        <v>0</v>
      </c>
      <c r="JQ77" s="35">
        <f t="shared" si="174"/>
        <v>0</v>
      </c>
      <c r="JR77" s="34">
        <f t="shared" si="174"/>
        <v>0</v>
      </c>
      <c r="JS77" s="35"/>
      <c r="JT77" s="35"/>
      <c r="JU77" s="35" t="str">
        <f t="shared" ref="JU77:JX77" si="175">JU64</f>
        <v>발사체폭발</v>
      </c>
      <c r="JV77" s="35" t="str">
        <f t="shared" si="175"/>
        <v>발사체폭발</v>
      </c>
      <c r="JW77" s="35">
        <f t="shared" si="175"/>
        <v>0</v>
      </c>
      <c r="JX77" s="34">
        <f t="shared" si="175"/>
        <v>0</v>
      </c>
      <c r="JY77" s="35"/>
      <c r="JZ77" s="35"/>
      <c r="KA77" s="35" t="str">
        <f t="shared" ref="KA77:KD77" si="176">KA64</f>
        <v>발사체폭발</v>
      </c>
      <c r="KB77" s="35" t="str">
        <f t="shared" si="176"/>
        <v>발사체폭발</v>
      </c>
      <c r="KC77" s="35">
        <f t="shared" si="176"/>
        <v>0</v>
      </c>
      <c r="KD77" s="34">
        <f t="shared" si="176"/>
        <v>0</v>
      </c>
      <c r="KE77" s="35"/>
      <c r="KF77" s="35"/>
      <c r="KG77" s="35" t="str">
        <f t="shared" ref="KG77:KJ77" si="177">KG64</f>
        <v/>
      </c>
      <c r="KH77" s="35">
        <f t="shared" si="177"/>
        <v>0</v>
      </c>
      <c r="KI77" s="35">
        <f t="shared" si="177"/>
        <v>0</v>
      </c>
      <c r="KJ77" s="34">
        <f t="shared" si="177"/>
        <v>0</v>
      </c>
      <c r="KK77" s="35"/>
      <c r="KL77" s="35"/>
      <c r="KM77" s="35" t="str">
        <f t="shared" ref="KM77:KP77" si="178">KM64</f>
        <v/>
      </c>
      <c r="KN77" s="35">
        <f t="shared" si="178"/>
        <v>0</v>
      </c>
      <c r="KO77" s="35">
        <f t="shared" si="178"/>
        <v>0</v>
      </c>
      <c r="KP77" s="34">
        <f t="shared" si="178"/>
        <v>0</v>
      </c>
      <c r="KQ77" s="35"/>
      <c r="KR77" s="35"/>
      <c r="KS77" s="35" t="str">
        <f t="shared" ref="KS77:KV77" si="179">KS64</f>
        <v/>
      </c>
      <c r="KT77" s="35">
        <f t="shared" si="179"/>
        <v>0</v>
      </c>
      <c r="KU77" s="35">
        <f t="shared" si="179"/>
        <v>0</v>
      </c>
      <c r="KV77" s="34">
        <f t="shared" si="179"/>
        <v>0</v>
      </c>
      <c r="KW77" s="35"/>
      <c r="KX77" s="35"/>
      <c r="KY77" s="35" t="str">
        <f t="shared" ref="KY77:LB77" si="180">KY64</f>
        <v/>
      </c>
      <c r="KZ77" s="35">
        <f t="shared" si="180"/>
        <v>0</v>
      </c>
      <c r="LA77" s="35">
        <f t="shared" si="180"/>
        <v>0</v>
      </c>
      <c r="LB77" s="34">
        <f t="shared" si="180"/>
        <v>0</v>
      </c>
      <c r="LC77" s="35"/>
      <c r="LD77" s="35"/>
      <c r="LE77" s="35" t="str">
        <f t="shared" ref="LE77:LH77" si="181">LE64</f>
        <v/>
      </c>
      <c r="LF77" s="35" t="str">
        <f t="shared" si="181"/>
        <v>발사체폭발</v>
      </c>
      <c r="LG77" s="35">
        <f t="shared" si="181"/>
        <v>0</v>
      </c>
      <c r="LH77" s="34">
        <f t="shared" si="181"/>
        <v>0</v>
      </c>
      <c r="LI77" s="35"/>
      <c r="LJ77" s="35"/>
      <c r="LK77" s="35" t="str">
        <f t="shared" ref="LK77:LN77" si="182">LK64</f>
        <v/>
      </c>
      <c r="LL77" s="35">
        <f t="shared" si="182"/>
        <v>0</v>
      </c>
      <c r="LM77" s="35">
        <f t="shared" si="182"/>
        <v>0</v>
      </c>
      <c r="LN77" s="34">
        <f t="shared" si="182"/>
        <v>0</v>
      </c>
      <c r="LO77" s="35"/>
      <c r="LP77" s="35"/>
      <c r="LQ77" s="35" t="str">
        <f t="shared" ref="LQ77:LT77" si="183">LQ64</f>
        <v/>
      </c>
      <c r="LR77" s="35">
        <f t="shared" si="183"/>
        <v>0</v>
      </c>
      <c r="LS77" s="35">
        <f t="shared" si="183"/>
        <v>0</v>
      </c>
      <c r="LT77" s="34">
        <f t="shared" si="183"/>
        <v>0</v>
      </c>
      <c r="LU77" s="35"/>
      <c r="LV77" s="35"/>
      <c r="LW77" s="35" t="str">
        <f t="shared" ref="LW77:LZ77" si="184">LW64</f>
        <v>발사체폭발</v>
      </c>
      <c r="LX77" s="35">
        <f t="shared" si="184"/>
        <v>0</v>
      </c>
      <c r="LY77" s="35">
        <f t="shared" si="184"/>
        <v>0</v>
      </c>
      <c r="LZ77" s="34">
        <f t="shared" si="184"/>
        <v>0</v>
      </c>
      <c r="MA77" s="35"/>
      <c r="MB77" s="35"/>
      <c r="MC77" s="35" t="str">
        <f t="shared" ref="MC77:MF77" si="185">MC64</f>
        <v/>
      </c>
      <c r="MD77" s="35">
        <f t="shared" si="185"/>
        <v>0</v>
      </c>
      <c r="ME77" s="35">
        <f t="shared" si="185"/>
        <v>0</v>
      </c>
      <c r="MF77" s="34">
        <f t="shared" si="185"/>
        <v>0</v>
      </c>
      <c r="MG77" s="35"/>
      <c r="MH77" s="35"/>
      <c r="MI77" s="35" t="str">
        <f t="shared" si="129"/>
        <v/>
      </c>
      <c r="MJ77" s="35">
        <f t="shared" si="129"/>
        <v>0</v>
      </c>
      <c r="MK77" s="35">
        <f t="shared" si="129"/>
        <v>0</v>
      </c>
      <c r="ML77" s="34">
        <f t="shared" si="129"/>
        <v>0</v>
      </c>
      <c r="MM77" s="35"/>
      <c r="MN77" s="35"/>
      <c r="MO77" s="35" t="str">
        <f t="shared" ref="MO77:MR77" si="186">MO64</f>
        <v>발사체폭발</v>
      </c>
      <c r="MP77" s="35">
        <f t="shared" si="186"/>
        <v>0</v>
      </c>
      <c r="MQ77" s="35">
        <f t="shared" si="186"/>
        <v>0</v>
      </c>
      <c r="MR77" s="34">
        <f t="shared" si="186"/>
        <v>0</v>
      </c>
      <c r="MS77" s="35"/>
      <c r="MT77" s="35"/>
      <c r="MU77" s="35" t="str">
        <f t="shared" ref="MU77:MX77" si="187">MU64</f>
        <v>관통</v>
      </c>
      <c r="MV77" s="35" t="str">
        <f t="shared" si="187"/>
        <v>관통</v>
      </c>
      <c r="MW77" s="35">
        <f t="shared" si="187"/>
        <v>0</v>
      </c>
      <c r="MX77" s="34">
        <f t="shared" si="187"/>
        <v>0</v>
      </c>
      <c r="MY77" s="35"/>
      <c r="MZ77" s="35"/>
      <c r="NA77" s="35" t="str">
        <f t="shared" ref="NA77:ND77" si="188">NA64</f>
        <v>발사체폭발</v>
      </c>
      <c r="NB77" s="35">
        <f t="shared" si="188"/>
        <v>0</v>
      </c>
      <c r="NC77" s="35">
        <f t="shared" si="188"/>
        <v>0</v>
      </c>
      <c r="ND77" s="34">
        <f t="shared" si="188"/>
        <v>0</v>
      </c>
      <c r="NE77" s="35"/>
      <c r="NF77" s="35"/>
      <c r="NG77" s="35" t="str">
        <f t="shared" ref="NG77:NJ77" si="189">NG64</f>
        <v/>
      </c>
      <c r="NH77" s="35">
        <f t="shared" si="189"/>
        <v>0</v>
      </c>
      <c r="NI77" s="35">
        <f t="shared" si="189"/>
        <v>0</v>
      </c>
      <c r="NJ77" s="34">
        <f t="shared" si="189"/>
        <v>0</v>
      </c>
    </row>
    <row r="78" spans="1:374" s="35" customFormat="1" x14ac:dyDescent="0.45">
      <c r="A78" s="274"/>
      <c r="B78" s="33" t="s">
        <v>449</v>
      </c>
      <c r="E78" s="35">
        <f t="shared" ref="E78:H78" si="190">E65</f>
        <v>0</v>
      </c>
      <c r="F78" s="35">
        <f t="shared" si="190"/>
        <v>0</v>
      </c>
      <c r="G78" s="35">
        <f t="shared" si="190"/>
        <v>0</v>
      </c>
      <c r="H78" s="34">
        <f t="shared" si="190"/>
        <v>0</v>
      </c>
      <c r="K78" s="35">
        <f t="shared" ref="K78:N78" si="191">K65</f>
        <v>0</v>
      </c>
      <c r="L78" s="35" t="str">
        <f t="shared" si="191"/>
        <v>풀차지</v>
      </c>
      <c r="M78" s="35" t="str">
        <f t="shared" si="191"/>
        <v>풀차지</v>
      </c>
      <c r="N78" s="34" t="str">
        <f t="shared" si="191"/>
        <v>풀차지</v>
      </c>
      <c r="Q78" s="35">
        <f t="shared" ref="Q78:T78" si="192">Q65</f>
        <v>0</v>
      </c>
      <c r="R78" s="35" t="str">
        <f t="shared" si="192"/>
        <v>풀차지</v>
      </c>
      <c r="S78" s="35" t="str">
        <f t="shared" si="192"/>
        <v>풀차지</v>
      </c>
      <c r="T78" s="34" t="str">
        <f t="shared" si="192"/>
        <v>풀차지</v>
      </c>
      <c r="W78" s="35">
        <f t="shared" ref="W78:Z78" si="193">W65</f>
        <v>0</v>
      </c>
      <c r="X78" s="35" t="str">
        <f t="shared" si="193"/>
        <v>풀차지</v>
      </c>
      <c r="Y78" s="35">
        <f t="shared" si="193"/>
        <v>0</v>
      </c>
      <c r="Z78" s="34">
        <f t="shared" si="193"/>
        <v>0</v>
      </c>
      <c r="AC78" s="35">
        <f t="shared" ref="AC78:AF78" si="194">AC65</f>
        <v>0</v>
      </c>
      <c r="AD78" s="35">
        <f t="shared" si="194"/>
        <v>0</v>
      </c>
      <c r="AE78" s="35">
        <f t="shared" si="194"/>
        <v>0</v>
      </c>
      <c r="AF78" s="34">
        <f t="shared" si="194"/>
        <v>0</v>
      </c>
      <c r="AI78" s="35">
        <f t="shared" ref="AI78:AL78" si="195">AI65</f>
        <v>0</v>
      </c>
      <c r="AJ78" s="35">
        <f t="shared" si="195"/>
        <v>0</v>
      </c>
      <c r="AK78" s="35">
        <f t="shared" si="195"/>
        <v>0</v>
      </c>
      <c r="AL78" s="34">
        <f t="shared" si="195"/>
        <v>0</v>
      </c>
      <c r="AO78" s="35">
        <f t="shared" ref="AO78:AR78" si="196">AO65</f>
        <v>0</v>
      </c>
      <c r="AP78" s="35">
        <f t="shared" si="196"/>
        <v>0</v>
      </c>
      <c r="AQ78" s="35">
        <f t="shared" si="196"/>
        <v>0</v>
      </c>
      <c r="AR78" s="34">
        <f t="shared" si="196"/>
        <v>0</v>
      </c>
      <c r="AU78" s="35">
        <f t="shared" ref="AU78:AX78" si="197">AU65</f>
        <v>0</v>
      </c>
      <c r="AV78" s="35">
        <f t="shared" si="197"/>
        <v>0</v>
      </c>
      <c r="AW78" s="35">
        <f t="shared" si="197"/>
        <v>0</v>
      </c>
      <c r="AX78" s="34">
        <f t="shared" si="197"/>
        <v>0</v>
      </c>
      <c r="BA78" s="35">
        <f t="shared" ref="BA78:BD78" si="198">BA65</f>
        <v>0</v>
      </c>
      <c r="BB78" s="35">
        <f t="shared" si="198"/>
        <v>0</v>
      </c>
      <c r="BC78" s="35">
        <f t="shared" si="198"/>
        <v>0</v>
      </c>
      <c r="BD78" s="34">
        <f t="shared" si="198"/>
        <v>0</v>
      </c>
      <c r="BG78" s="35">
        <f t="shared" ref="BG78:BJ78" si="199">BG65</f>
        <v>0</v>
      </c>
      <c r="BH78" s="35" t="str">
        <f t="shared" si="199"/>
        <v>풀차지</v>
      </c>
      <c r="BI78" s="35">
        <f t="shared" si="199"/>
        <v>0</v>
      </c>
      <c r="BJ78" s="34">
        <f t="shared" si="199"/>
        <v>0</v>
      </c>
      <c r="BM78" s="35">
        <f t="shared" ref="BM78:BP78" si="200">BM65</f>
        <v>0</v>
      </c>
      <c r="BN78" s="35">
        <f t="shared" si="200"/>
        <v>0</v>
      </c>
      <c r="BO78" s="35">
        <f t="shared" si="200"/>
        <v>0</v>
      </c>
      <c r="BP78" s="34">
        <f t="shared" si="200"/>
        <v>0</v>
      </c>
      <c r="BS78" s="35">
        <f t="shared" ref="BS78:BV78" si="201">BS65</f>
        <v>0</v>
      </c>
      <c r="BT78" s="35">
        <f t="shared" si="201"/>
        <v>0</v>
      </c>
      <c r="BU78" s="35">
        <f t="shared" si="201"/>
        <v>0</v>
      </c>
      <c r="BV78" s="34">
        <f t="shared" si="201"/>
        <v>0</v>
      </c>
      <c r="BY78" s="35">
        <f t="shared" ref="BY78:CB78" si="202">BY65</f>
        <v>0</v>
      </c>
      <c r="BZ78" s="35">
        <f t="shared" si="202"/>
        <v>0</v>
      </c>
      <c r="CA78" s="35">
        <f t="shared" si="202"/>
        <v>0</v>
      </c>
      <c r="CB78" s="34">
        <f t="shared" si="202"/>
        <v>0</v>
      </c>
      <c r="CE78" s="35">
        <f t="shared" ref="CE78:CH78" si="203">CE65</f>
        <v>0</v>
      </c>
      <c r="CF78" s="35">
        <f t="shared" si="203"/>
        <v>0</v>
      </c>
      <c r="CG78" s="35">
        <f t="shared" si="203"/>
        <v>0</v>
      </c>
      <c r="CH78" s="34">
        <f t="shared" si="203"/>
        <v>0</v>
      </c>
      <c r="CK78" s="35">
        <f t="shared" ref="CK78:CN78" si="204">CK65</f>
        <v>0</v>
      </c>
      <c r="CL78" s="35" t="str">
        <f t="shared" si="204"/>
        <v>타수SG</v>
      </c>
      <c r="CM78" s="35" t="str">
        <f t="shared" si="204"/>
        <v>타수SG</v>
      </c>
      <c r="CN78" s="34">
        <f t="shared" si="204"/>
        <v>0</v>
      </c>
      <c r="CQ78" s="35">
        <f t="shared" ref="CQ78:CT78" si="205">CQ65</f>
        <v>0</v>
      </c>
      <c r="CR78" s="35">
        <f t="shared" si="205"/>
        <v>0</v>
      </c>
      <c r="CS78" s="35">
        <f t="shared" si="205"/>
        <v>0</v>
      </c>
      <c r="CT78" s="34">
        <f t="shared" si="205"/>
        <v>0</v>
      </c>
      <c r="CW78" s="35">
        <f t="shared" ref="CW78:CZ78" si="206">CW65</f>
        <v>0</v>
      </c>
      <c r="CX78" s="35">
        <f t="shared" si="206"/>
        <v>0</v>
      </c>
      <c r="CY78" s="35">
        <f t="shared" si="206"/>
        <v>0</v>
      </c>
      <c r="CZ78" s="34">
        <f t="shared" si="206"/>
        <v>0</v>
      </c>
      <c r="DC78" s="35">
        <f t="shared" ref="DC78:DF78" si="207">DC65</f>
        <v>0</v>
      </c>
      <c r="DD78" s="35">
        <f t="shared" si="207"/>
        <v>0</v>
      </c>
      <c r="DE78" s="35">
        <f t="shared" si="207"/>
        <v>0</v>
      </c>
      <c r="DF78" s="34">
        <f t="shared" si="207"/>
        <v>0</v>
      </c>
      <c r="DI78" s="35">
        <f t="shared" ref="DI78:DL78" si="208">DI65</f>
        <v>0</v>
      </c>
      <c r="DJ78" s="35">
        <f t="shared" si="208"/>
        <v>0</v>
      </c>
      <c r="DK78" s="35">
        <f t="shared" si="208"/>
        <v>0</v>
      </c>
      <c r="DL78" s="34">
        <f t="shared" si="208"/>
        <v>0</v>
      </c>
      <c r="DO78" s="35">
        <f t="shared" ref="DO78:DR78" si="209">DO65</f>
        <v>0</v>
      </c>
      <c r="DP78" s="35">
        <f t="shared" si="209"/>
        <v>0</v>
      </c>
      <c r="DQ78" s="35">
        <f t="shared" si="209"/>
        <v>0</v>
      </c>
      <c r="DR78" s="34">
        <f t="shared" si="209"/>
        <v>0</v>
      </c>
      <c r="DU78" s="35">
        <f t="shared" ref="DU78:DX78" si="210">DU65</f>
        <v>0</v>
      </c>
      <c r="DV78" s="35">
        <f t="shared" si="210"/>
        <v>0</v>
      </c>
      <c r="DW78" s="35">
        <f t="shared" si="210"/>
        <v>0</v>
      </c>
      <c r="DX78" s="34">
        <f t="shared" si="210"/>
        <v>0</v>
      </c>
      <c r="EA78" s="35">
        <f t="shared" ref="EA78:ED78" si="211">EA65</f>
        <v>0</v>
      </c>
      <c r="EB78" s="35">
        <f t="shared" si="211"/>
        <v>0</v>
      </c>
      <c r="EC78" s="35">
        <f t="shared" si="211"/>
        <v>0</v>
      </c>
      <c r="ED78" s="34">
        <f t="shared" si="211"/>
        <v>0</v>
      </c>
      <c r="EG78" s="35">
        <f t="shared" ref="EG78:EJ78" si="212">EG65</f>
        <v>0</v>
      </c>
      <c r="EH78" s="35">
        <f t="shared" si="212"/>
        <v>0</v>
      </c>
      <c r="EI78" s="35">
        <f t="shared" si="212"/>
        <v>0</v>
      </c>
      <c r="EJ78" s="34">
        <f t="shared" si="212"/>
        <v>0</v>
      </c>
      <c r="EM78" s="35">
        <f t="shared" ref="EM78:EP78" si="213">EM65</f>
        <v>0</v>
      </c>
      <c r="EN78" s="35">
        <f t="shared" si="213"/>
        <v>0</v>
      </c>
      <c r="EO78" s="35">
        <f t="shared" si="213"/>
        <v>0</v>
      </c>
      <c r="EP78" s="34">
        <f t="shared" si="213"/>
        <v>0</v>
      </c>
      <c r="ES78" s="35">
        <f t="shared" ref="ES78:EV78" si="214">ES65</f>
        <v>0</v>
      </c>
      <c r="ET78" s="35">
        <f t="shared" si="214"/>
        <v>0</v>
      </c>
      <c r="EU78" s="35">
        <f t="shared" si="214"/>
        <v>0</v>
      </c>
      <c r="EV78" s="34">
        <f t="shared" si="214"/>
        <v>0</v>
      </c>
      <c r="EY78" s="35">
        <f t="shared" ref="EY78:FB78" si="215">EY65</f>
        <v>0</v>
      </c>
      <c r="EZ78" s="35">
        <f t="shared" si="215"/>
        <v>0</v>
      </c>
      <c r="FA78" s="35">
        <f t="shared" si="215"/>
        <v>0</v>
      </c>
      <c r="FB78" s="34">
        <f t="shared" si="215"/>
        <v>0</v>
      </c>
      <c r="FE78" s="35">
        <f t="shared" ref="FE78:FH78" si="216">FE65</f>
        <v>0</v>
      </c>
      <c r="FF78" s="35">
        <f t="shared" si="216"/>
        <v>0</v>
      </c>
      <c r="FG78" s="35">
        <f t="shared" si="216"/>
        <v>0</v>
      </c>
      <c r="FH78" s="34">
        <f t="shared" si="216"/>
        <v>0</v>
      </c>
      <c r="FK78" s="35">
        <f t="shared" si="101"/>
        <v>0</v>
      </c>
      <c r="FL78" s="35">
        <f t="shared" si="101"/>
        <v>0</v>
      </c>
      <c r="FM78" s="35">
        <f t="shared" si="101"/>
        <v>0</v>
      </c>
      <c r="FN78" s="34">
        <f t="shared" si="101"/>
        <v>0</v>
      </c>
      <c r="FQ78" s="35">
        <f t="shared" si="102"/>
        <v>0</v>
      </c>
      <c r="FR78" s="35" t="str">
        <f t="shared" si="102"/>
        <v>풀차지</v>
      </c>
      <c r="FS78" s="35">
        <f t="shared" si="102"/>
        <v>0</v>
      </c>
      <c r="FT78" s="34">
        <f t="shared" si="102"/>
        <v>0</v>
      </c>
      <c r="FW78" s="35">
        <f t="shared" si="103"/>
        <v>0</v>
      </c>
      <c r="FX78" s="35" t="str">
        <f t="shared" si="103"/>
        <v>풀차지</v>
      </c>
      <c r="FY78" s="35">
        <f t="shared" si="103"/>
        <v>0</v>
      </c>
      <c r="FZ78" s="34">
        <f t="shared" si="103"/>
        <v>0</v>
      </c>
      <c r="GC78" s="35">
        <f t="shared" ref="GC78:GF78" si="217">GC65</f>
        <v>0</v>
      </c>
      <c r="GD78" s="35">
        <f t="shared" si="217"/>
        <v>0</v>
      </c>
      <c r="GE78" s="35">
        <f t="shared" si="217"/>
        <v>0</v>
      </c>
      <c r="GF78" s="34">
        <f t="shared" si="217"/>
        <v>0</v>
      </c>
      <c r="GI78" s="35">
        <f t="shared" ref="GI78:GL78" si="218">GI65</f>
        <v>0</v>
      </c>
      <c r="GJ78" s="35">
        <f t="shared" si="218"/>
        <v>0</v>
      </c>
      <c r="GK78" s="35">
        <f t="shared" si="218"/>
        <v>0</v>
      </c>
      <c r="GL78" s="34">
        <f t="shared" si="218"/>
        <v>0</v>
      </c>
      <c r="GO78" s="35">
        <f t="shared" ref="GO78:GR78" si="219">GO65</f>
        <v>0</v>
      </c>
      <c r="GP78" s="35">
        <f t="shared" si="219"/>
        <v>0</v>
      </c>
      <c r="GQ78" s="35">
        <f t="shared" si="219"/>
        <v>0</v>
      </c>
      <c r="GR78" s="34">
        <f t="shared" si="219"/>
        <v>0</v>
      </c>
      <c r="GU78" s="35">
        <f t="shared" ref="GU78:GX78" si="220">GU65</f>
        <v>0</v>
      </c>
      <c r="GV78" s="35">
        <f t="shared" si="220"/>
        <v>0</v>
      </c>
      <c r="GW78" s="35">
        <f t="shared" si="220"/>
        <v>0</v>
      </c>
      <c r="GX78" s="34">
        <f t="shared" si="220"/>
        <v>0</v>
      </c>
      <c r="HA78" s="35">
        <f t="shared" ref="HA78:HD78" si="221">HA65</f>
        <v>0</v>
      </c>
      <c r="HB78" s="35">
        <f t="shared" si="221"/>
        <v>0</v>
      </c>
      <c r="HC78" s="35">
        <f t="shared" si="221"/>
        <v>0</v>
      </c>
      <c r="HD78" s="34">
        <f t="shared" si="221"/>
        <v>0</v>
      </c>
      <c r="HG78" s="35">
        <f t="shared" ref="HG78:HJ78" si="222">HG65</f>
        <v>0</v>
      </c>
      <c r="HH78" s="35">
        <f t="shared" si="222"/>
        <v>0</v>
      </c>
      <c r="HI78" s="35">
        <f t="shared" si="222"/>
        <v>0</v>
      </c>
      <c r="HJ78" s="34">
        <f t="shared" si="222"/>
        <v>0</v>
      </c>
      <c r="HM78" s="35">
        <f t="shared" ref="HM78:HP78" si="223">HM65</f>
        <v>0</v>
      </c>
      <c r="HN78" s="35">
        <f t="shared" si="223"/>
        <v>0</v>
      </c>
      <c r="HO78" s="35">
        <f t="shared" si="223"/>
        <v>0</v>
      </c>
      <c r="HP78" s="34">
        <f t="shared" si="223"/>
        <v>0</v>
      </c>
      <c r="HS78" s="35">
        <f t="shared" ref="HS78:HV78" si="224">HS65</f>
        <v>0</v>
      </c>
      <c r="HT78" s="35">
        <f t="shared" si="224"/>
        <v>0</v>
      </c>
      <c r="HU78" s="35">
        <f t="shared" si="224"/>
        <v>0</v>
      </c>
      <c r="HV78" s="34">
        <f t="shared" si="224"/>
        <v>0</v>
      </c>
      <c r="HY78" s="35">
        <f t="shared" ref="HY78:IB78" si="225">HY65</f>
        <v>0</v>
      </c>
      <c r="HZ78" s="35">
        <f t="shared" si="225"/>
        <v>0</v>
      </c>
      <c r="IA78" s="35">
        <f t="shared" si="225"/>
        <v>0</v>
      </c>
      <c r="IB78" s="34">
        <f t="shared" si="225"/>
        <v>0</v>
      </c>
      <c r="IE78" s="35">
        <f t="shared" ref="IE78:IH78" si="226">IE65</f>
        <v>0</v>
      </c>
      <c r="IF78" s="35">
        <f t="shared" si="226"/>
        <v>0</v>
      </c>
      <c r="IG78" s="35">
        <f t="shared" si="226"/>
        <v>0</v>
      </c>
      <c r="IH78" s="34">
        <f t="shared" si="226"/>
        <v>0</v>
      </c>
      <c r="IK78" s="35">
        <f t="shared" ref="IK78:IN78" si="227">IK65</f>
        <v>0</v>
      </c>
      <c r="IL78" s="35">
        <f t="shared" si="227"/>
        <v>0</v>
      </c>
      <c r="IM78" s="35">
        <f t="shared" si="227"/>
        <v>0</v>
      </c>
      <c r="IN78" s="34">
        <f t="shared" si="227"/>
        <v>0</v>
      </c>
      <c r="IQ78" s="35">
        <f t="shared" ref="IQ78:IT78" si="228">IQ65</f>
        <v>0</v>
      </c>
      <c r="IR78" s="35">
        <f t="shared" si="228"/>
        <v>0</v>
      </c>
      <c r="IS78" s="35">
        <f t="shared" si="228"/>
        <v>0</v>
      </c>
      <c r="IT78" s="34">
        <f t="shared" si="228"/>
        <v>0</v>
      </c>
      <c r="IW78" s="35">
        <f t="shared" si="53"/>
        <v>0</v>
      </c>
      <c r="IX78" s="35">
        <f t="shared" si="53"/>
        <v>0</v>
      </c>
      <c r="IY78" s="35">
        <f t="shared" si="53"/>
        <v>0</v>
      </c>
      <c r="IZ78" s="34">
        <f t="shared" si="53"/>
        <v>0</v>
      </c>
      <c r="JC78" s="35">
        <f t="shared" ref="JC78:JF78" si="229">JC65</f>
        <v>0</v>
      </c>
      <c r="JD78" s="35" t="str">
        <f t="shared" si="229"/>
        <v>풀차지</v>
      </c>
      <c r="JE78" s="35">
        <f t="shared" si="229"/>
        <v>0</v>
      </c>
      <c r="JF78" s="34">
        <f t="shared" si="229"/>
        <v>0</v>
      </c>
      <c r="JI78" s="35">
        <f t="shared" si="55"/>
        <v>0</v>
      </c>
      <c r="JJ78" s="35">
        <f t="shared" si="55"/>
        <v>0</v>
      </c>
      <c r="JK78" s="35">
        <f t="shared" si="55"/>
        <v>0</v>
      </c>
      <c r="JL78" s="34">
        <f t="shared" si="55"/>
        <v>0</v>
      </c>
      <c r="JO78" s="35">
        <f t="shared" ref="JO78:JR78" si="230">JO65</f>
        <v>0</v>
      </c>
      <c r="JP78" s="35" t="str">
        <f t="shared" si="230"/>
        <v>타수SG</v>
      </c>
      <c r="JQ78" s="35" t="str">
        <f t="shared" si="230"/>
        <v>타수SG</v>
      </c>
      <c r="JR78" s="34">
        <f t="shared" si="230"/>
        <v>0</v>
      </c>
      <c r="JU78" s="35">
        <f t="shared" ref="JU78:JX78" si="231">JU65</f>
        <v>0</v>
      </c>
      <c r="JV78" s="35">
        <f t="shared" si="231"/>
        <v>0</v>
      </c>
      <c r="JW78" s="35">
        <f t="shared" si="231"/>
        <v>0</v>
      </c>
      <c r="JX78" s="34">
        <f t="shared" si="231"/>
        <v>0</v>
      </c>
      <c r="KA78" s="35">
        <f t="shared" ref="KA78:KD78" si="232">KA65</f>
        <v>0</v>
      </c>
      <c r="KB78" s="35">
        <f t="shared" si="232"/>
        <v>0</v>
      </c>
      <c r="KC78" s="35">
        <f t="shared" si="232"/>
        <v>0</v>
      </c>
      <c r="KD78" s="34">
        <f t="shared" si="232"/>
        <v>0</v>
      </c>
      <c r="KG78" s="35">
        <f t="shared" ref="KG78:KJ78" si="233">KG65</f>
        <v>0</v>
      </c>
      <c r="KH78" s="35">
        <f t="shared" si="233"/>
        <v>0</v>
      </c>
      <c r="KI78" s="35">
        <f t="shared" si="233"/>
        <v>0</v>
      </c>
      <c r="KJ78" s="34">
        <f t="shared" si="233"/>
        <v>0</v>
      </c>
      <c r="KM78" s="35">
        <f t="shared" ref="KM78:KP78" si="234">KM65</f>
        <v>0</v>
      </c>
      <c r="KN78" s="35">
        <f t="shared" si="234"/>
        <v>0</v>
      </c>
      <c r="KO78" s="35">
        <f t="shared" si="234"/>
        <v>0</v>
      </c>
      <c r="KP78" s="34">
        <f t="shared" si="234"/>
        <v>0</v>
      </c>
      <c r="KS78" s="35">
        <f t="shared" ref="KS78:KV78" si="235">KS65</f>
        <v>0</v>
      </c>
      <c r="KT78" s="35">
        <f t="shared" si="235"/>
        <v>0</v>
      </c>
      <c r="KU78" s="35">
        <f t="shared" si="235"/>
        <v>0</v>
      </c>
      <c r="KV78" s="34">
        <f t="shared" si="235"/>
        <v>0</v>
      </c>
      <c r="KY78" s="35">
        <f t="shared" ref="KY78:LB78" si="236">KY65</f>
        <v>0</v>
      </c>
      <c r="KZ78" s="35">
        <f t="shared" si="236"/>
        <v>0</v>
      </c>
      <c r="LA78" s="35">
        <f t="shared" si="236"/>
        <v>0</v>
      </c>
      <c r="LB78" s="34">
        <f t="shared" si="236"/>
        <v>0</v>
      </c>
      <c r="LE78" s="35">
        <f t="shared" ref="LE78:LH78" si="237">LE65</f>
        <v>0</v>
      </c>
      <c r="LF78" s="35">
        <f t="shared" si="237"/>
        <v>0</v>
      </c>
      <c r="LG78" s="35" t="str">
        <f t="shared" si="237"/>
        <v>풀차지</v>
      </c>
      <c r="LH78" s="34" t="str">
        <f t="shared" si="237"/>
        <v>풀차지</v>
      </c>
      <c r="LK78" s="35">
        <f t="shared" ref="LK78:LN78" si="238">LK65</f>
        <v>0</v>
      </c>
      <c r="LL78" s="35">
        <f t="shared" si="238"/>
        <v>0</v>
      </c>
      <c r="LM78" s="35">
        <f t="shared" si="238"/>
        <v>0</v>
      </c>
      <c r="LN78" s="34">
        <f t="shared" si="238"/>
        <v>0</v>
      </c>
      <c r="LQ78" s="35">
        <f t="shared" ref="LQ78:LT78" si="239">LQ65</f>
        <v>0</v>
      </c>
      <c r="LR78" s="35">
        <f t="shared" si="239"/>
        <v>0</v>
      </c>
      <c r="LS78" s="35">
        <f t="shared" si="239"/>
        <v>0</v>
      </c>
      <c r="LT78" s="34">
        <f t="shared" si="239"/>
        <v>0</v>
      </c>
      <c r="LW78" s="35">
        <f t="shared" ref="LW78:LZ78" si="240">LW65</f>
        <v>0</v>
      </c>
      <c r="LX78" s="35">
        <f t="shared" si="240"/>
        <v>0</v>
      </c>
      <c r="LY78" s="35">
        <f t="shared" si="240"/>
        <v>0</v>
      </c>
      <c r="LZ78" s="34">
        <f t="shared" si="240"/>
        <v>0</v>
      </c>
      <c r="MC78" s="35">
        <f t="shared" ref="MC78:MF78" si="241">MC65</f>
        <v>0</v>
      </c>
      <c r="MD78" s="35" t="str">
        <f t="shared" si="241"/>
        <v>타수SG</v>
      </c>
      <c r="ME78" s="35">
        <f t="shared" si="241"/>
        <v>0</v>
      </c>
      <c r="MF78" s="34">
        <f t="shared" si="241"/>
        <v>0</v>
      </c>
      <c r="MI78" s="35">
        <f t="shared" si="129"/>
        <v>0</v>
      </c>
      <c r="MJ78" s="35">
        <f t="shared" si="129"/>
        <v>0</v>
      </c>
      <c r="MK78" s="35">
        <f t="shared" si="129"/>
        <v>0</v>
      </c>
      <c r="ML78" s="34">
        <f t="shared" si="129"/>
        <v>0</v>
      </c>
      <c r="MO78" s="35">
        <f t="shared" ref="MO78:MR78" si="242">MO65</f>
        <v>0</v>
      </c>
      <c r="MP78" s="35">
        <f t="shared" si="242"/>
        <v>0</v>
      </c>
      <c r="MQ78" s="35">
        <f t="shared" si="242"/>
        <v>0</v>
      </c>
      <c r="MR78" s="34">
        <f t="shared" si="242"/>
        <v>0</v>
      </c>
      <c r="MU78" s="35">
        <f t="shared" ref="MU78:MX78" si="243">MU65</f>
        <v>0</v>
      </c>
      <c r="MV78" s="35">
        <f t="shared" si="243"/>
        <v>0</v>
      </c>
      <c r="MW78" s="35" t="str">
        <f t="shared" si="243"/>
        <v>풀차지</v>
      </c>
      <c r="MX78" s="34" t="str">
        <f t="shared" si="243"/>
        <v>풀차지</v>
      </c>
      <c r="NA78" s="35">
        <f t="shared" ref="NA78:ND78" si="244">NA65</f>
        <v>0</v>
      </c>
      <c r="NB78" s="35">
        <f t="shared" si="244"/>
        <v>0</v>
      </c>
      <c r="NC78" s="35">
        <f t="shared" si="244"/>
        <v>0</v>
      </c>
      <c r="ND78" s="34">
        <f t="shared" si="244"/>
        <v>0</v>
      </c>
      <c r="NG78" s="35">
        <f t="shared" ref="NG78:NJ78" si="245">NG65</f>
        <v>0</v>
      </c>
      <c r="NH78" s="35">
        <f t="shared" si="245"/>
        <v>0</v>
      </c>
      <c r="NI78" s="35">
        <f t="shared" si="245"/>
        <v>0</v>
      </c>
      <c r="NJ78" s="34">
        <f t="shared" si="245"/>
        <v>0</v>
      </c>
    </row>
    <row r="79" spans="1:374" s="14" customFormat="1" x14ac:dyDescent="0.45">
      <c r="H79" s="15"/>
      <c r="N79" s="15"/>
      <c r="T79" s="15"/>
      <c r="Z79" s="15"/>
      <c r="AF79" s="15"/>
      <c r="AL79" s="15"/>
      <c r="AR79" s="15"/>
      <c r="AX79" s="15"/>
      <c r="BD79" s="15"/>
      <c r="BJ79" s="15"/>
      <c r="BP79" s="15"/>
      <c r="BV79" s="15"/>
      <c r="CB79" s="15"/>
      <c r="CH79" s="15"/>
      <c r="CN79" s="15"/>
      <c r="CT79" s="15"/>
      <c r="CZ79" s="15"/>
      <c r="DF79" s="15"/>
      <c r="DL79" s="15"/>
      <c r="DR79" s="15"/>
      <c r="DX79" s="15"/>
      <c r="ED79" s="15"/>
      <c r="EJ79" s="15"/>
      <c r="EP79" s="15"/>
      <c r="EV79" s="15"/>
      <c r="FB79" s="15"/>
      <c r="FH79" s="15"/>
      <c r="FN79" s="15"/>
      <c r="FT79" s="15"/>
      <c r="FZ79" s="15"/>
      <c r="GF79" s="15"/>
      <c r="GL79" s="15"/>
      <c r="GR79" s="15"/>
      <c r="GX79" s="15"/>
      <c r="HD79" s="15"/>
      <c r="HJ79" s="15"/>
      <c r="HP79" s="15"/>
      <c r="HV79" s="15"/>
      <c r="IB79" s="15"/>
      <c r="IH79" s="15"/>
      <c r="IN79" s="15"/>
      <c r="IT79" s="15"/>
      <c r="IZ79" s="15"/>
      <c r="JF79" s="15"/>
      <c r="JL79" s="15"/>
      <c r="JR79" s="15"/>
      <c r="JX79" s="15"/>
      <c r="KD79" s="15"/>
      <c r="KJ79" s="15"/>
      <c r="KP79" s="15"/>
      <c r="KV79" s="15"/>
      <c r="LB79" s="15"/>
      <c r="LH79" s="15"/>
      <c r="LN79" s="15"/>
      <c r="LT79" s="15"/>
      <c r="LZ79" s="15"/>
      <c r="MF79" s="15"/>
      <c r="ML79" s="15"/>
      <c r="MR79" s="15"/>
      <c r="MX79" s="15"/>
      <c r="ND79" s="15"/>
      <c r="NJ79" s="15"/>
    </row>
  </sheetData>
  <mergeCells count="11">
    <mergeCell ref="A1:B2"/>
    <mergeCell ref="A6:A7"/>
    <mergeCell ref="A8:A18"/>
    <mergeCell ref="A20:A23"/>
    <mergeCell ref="A24:A25"/>
    <mergeCell ref="A3:A5"/>
    <mergeCell ref="A26:A28"/>
    <mergeCell ref="A29:A31"/>
    <mergeCell ref="A32:A40"/>
    <mergeCell ref="A54:A65"/>
    <mergeCell ref="A67:A78"/>
  </mergeCells>
  <phoneticPr fontId="2"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F0A0DF2D-EE7D-4341-B327-5C99EFA3456A}">
          <x14:formula1>
            <xm:f>니케스팩!$H$3:$J$3</xm:f>
          </x14:formula1>
          <xm:sqref>D1 J1 P1 V1 AB1 AT1 CP1 CJ1 BF1 BL1 BR1 BX1 AZ1 CD1 DB1 DN1 DT1 CV1 DZ1 EL1 ER1 LV1 FD1 LD1 LP1 EX1 GB1 GH1 KX1 GT1 GZ1 HF1 GN1 HR1 HX1 HL1 IJ1 IP1 IV1 ID1 JB1 JN1 JT1 JH1 KF1 KL1 KR1 EF1 JZ1 AH1 DH1 LJ1 MB1 AN1 MN1 MT1 MZ1 NF1</xm:sqref>
        </x14:dataValidation>
        <x14:dataValidation type="list" allowBlank="1" showInputMessage="1" showErrorMessage="1" xr:uid="{5BABE347-7AED-4863-8750-E02D6C32E86E}">
          <x14:formula1>
            <xm:f>니케스팩!$B$7:$B$12</xm:f>
          </x14:formula1>
          <xm:sqref>E1 K1 Q1 W1 AC1 AU1 CQ1 CK1 BG1 BM1 BS1 BY1 BA1 CE1 DC1 DO1 DU1 CW1 EA1 EM1 ES1 LW1 FE1 LE1 LQ1 EY1 GC1 GI1 KY1 GU1 HA1 HG1 GO1 HS1 HY1 HM1 IK1 IQ1 IW1 IE1 JC1 JO1 JU1 JI1 KG1 KM1 KS1 EG1 KA1 AI1 DI1 LK1 MC1 AO1 MO1 MU1 NA1 NG1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5DA3F-9A48-9443-A958-7E8A791BA703}">
  <dimension ref="A1:MF48"/>
  <sheetViews>
    <sheetView zoomScale="70" zoomScaleNormal="70" zoomScaleSheetLayoutView="100" workbookViewId="0">
      <pane xSplit="2" topLeftCell="LL1" activePane="topRight" state="frozen"/>
      <selection activeCell="A22" sqref="A22"/>
      <selection pane="topRight" activeCell="MB12" sqref="MB12"/>
    </sheetView>
  </sheetViews>
  <sheetFormatPr defaultColWidth="8.58203125" defaultRowHeight="17" x14ac:dyDescent="0.45"/>
  <cols>
    <col min="1" max="1" width="16.33203125" style="8" bestFit="1" customWidth="1"/>
    <col min="2" max="2" width="23" style="15" bestFit="1" customWidth="1"/>
    <col min="3" max="7" width="8.58203125" style="14"/>
    <col min="8" max="8" width="8.58203125" style="15"/>
    <col min="9" max="13" width="8.58203125" style="14"/>
    <col min="14" max="14" width="8.58203125" style="15"/>
    <col min="15" max="15" width="8.58203125" style="14"/>
    <col min="16" max="18" width="8.75" style="14" bestFit="1" customWidth="1"/>
    <col min="19" max="19" width="8.58203125" style="14"/>
    <col min="20" max="20" width="8.58203125" style="15"/>
    <col min="21" max="21" width="8.58203125" style="14"/>
    <col min="22" max="24" width="8.75" style="14" bestFit="1" customWidth="1"/>
    <col min="25" max="25" width="8.58203125" style="14"/>
    <col min="26" max="26" width="8.58203125" style="15"/>
    <col min="27" max="27" width="8.58203125" style="14"/>
    <col min="28" max="30" width="8.75" style="14" bestFit="1" customWidth="1"/>
    <col min="31" max="31" width="8.58203125" style="14"/>
    <col min="32" max="32" width="8.58203125" style="15"/>
    <col min="33" max="37" width="8.58203125" style="14"/>
    <col min="38" max="38" width="8.58203125" style="15"/>
    <col min="39" max="43" width="8.58203125" style="14"/>
    <col min="44" max="44" width="8.58203125" style="15"/>
    <col min="45" max="49" width="8.75" style="14" bestFit="1" customWidth="1"/>
    <col min="50" max="50" width="8.75" style="15" bestFit="1" customWidth="1"/>
    <col min="51" max="52" width="8.75" style="14" bestFit="1" customWidth="1"/>
    <col min="53" max="53" width="8.58203125" style="14"/>
    <col min="54" max="55" width="8.75" style="14" bestFit="1" customWidth="1"/>
    <col min="56" max="56" width="8.75" style="15" bestFit="1" customWidth="1"/>
    <col min="57" max="61" width="8.75" style="14" bestFit="1" customWidth="1"/>
    <col min="62" max="62" width="8.75" style="15" bestFit="1" customWidth="1"/>
    <col min="63" max="67" width="8.75" style="14" bestFit="1" customWidth="1"/>
    <col min="68" max="68" width="8.58203125" style="15"/>
    <col min="69" max="73" width="8.58203125" style="14"/>
    <col min="74" max="74" width="8.58203125" style="15"/>
    <col min="75" max="79" width="8.58203125" style="14"/>
    <col min="80" max="80" width="8.58203125" style="15"/>
    <col min="81" max="85" width="8.58203125" style="14"/>
    <col min="86" max="86" width="8.58203125" style="15"/>
    <col min="87" max="91" width="8.75" style="14" bestFit="1" customWidth="1"/>
    <col min="92" max="92" width="8.75" style="15" bestFit="1" customWidth="1"/>
    <col min="93" max="95" width="8.75" style="14" bestFit="1" customWidth="1"/>
    <col min="96" max="96" width="8.58203125" style="14"/>
    <col min="97" max="97" width="8.75" style="14" bestFit="1" customWidth="1"/>
    <col min="98" max="98" width="8.75" style="15" bestFit="1" customWidth="1"/>
    <col min="99" max="101" width="8.75" style="14" bestFit="1" customWidth="1"/>
    <col min="102" max="103" width="8.58203125" style="14"/>
    <col min="104" max="104" width="8.58203125" style="15"/>
    <col min="105" max="108" width="8.58203125" style="14"/>
    <col min="109" max="109" width="8.75" style="14" bestFit="1" customWidth="1"/>
    <col min="110" max="110" width="8.75" style="15" bestFit="1" customWidth="1"/>
    <col min="111" max="113" width="8.75" style="14" bestFit="1" customWidth="1"/>
    <col min="114" max="114" width="8.58203125" style="14"/>
    <col min="115" max="115" width="8.75" style="14" bestFit="1" customWidth="1"/>
    <col min="116" max="116" width="8.75" style="15" bestFit="1" customWidth="1"/>
    <col min="117" max="119" width="8.75" style="14" bestFit="1" customWidth="1"/>
    <col min="120" max="120" width="8.58203125" style="14"/>
    <col min="121" max="121" width="8.75" style="14" bestFit="1" customWidth="1"/>
    <col min="122" max="122" width="8.75" style="15" bestFit="1" customWidth="1"/>
    <col min="123" max="127" width="8.58203125" style="14"/>
    <col min="128" max="128" width="8.58203125" style="15"/>
    <col min="129" max="133" width="8.58203125" style="14"/>
    <col min="134" max="134" width="8.58203125" style="15"/>
    <col min="135" max="139" width="8.58203125" style="14"/>
    <col min="140" max="140" width="8.58203125" style="15"/>
    <col min="141" max="145" width="8.58203125" style="14"/>
    <col min="146" max="146" width="8.58203125" style="15"/>
    <col min="147" max="149" width="8.75" style="14" bestFit="1" customWidth="1"/>
    <col min="150" max="150" width="8.58203125" style="14"/>
    <col min="151" max="151" width="8.75" style="14" bestFit="1" customWidth="1"/>
    <col min="152" max="152" width="8.75" style="15" bestFit="1" customWidth="1"/>
    <col min="153" max="157" width="8.75" style="14" bestFit="1" customWidth="1"/>
    <col min="158" max="158" width="8.75" style="15" bestFit="1" customWidth="1"/>
    <col min="159" max="163" width="8.58203125" style="14"/>
    <col min="164" max="164" width="8.58203125" style="15"/>
    <col min="165" max="169" width="8.58203125" style="14"/>
    <col min="170" max="170" width="8.58203125" style="15"/>
    <col min="171" max="172" width="8.58203125" style="14"/>
    <col min="173" max="173" width="8.58203125" style="14" customWidth="1"/>
    <col min="174" max="175" width="8.75" style="14" bestFit="1" customWidth="1"/>
    <col min="176" max="176" width="9" style="15" bestFit="1" customWidth="1"/>
    <col min="177" max="178" width="8.75" style="14" bestFit="1" customWidth="1"/>
    <col min="179" max="179" width="8.58203125" style="14" customWidth="1"/>
    <col min="180" max="181" width="8.58203125" style="14"/>
    <col min="182" max="182" width="9.75" style="15" bestFit="1" customWidth="1"/>
    <col min="183" max="187" width="8.58203125" style="14"/>
    <col min="188" max="188" width="8.83203125" style="15" bestFit="1" customWidth="1"/>
    <col min="189" max="191" width="8.75" style="14" bestFit="1" customWidth="1"/>
    <col min="192" max="192" width="8.58203125" style="14"/>
    <col min="193" max="193" width="8.75" style="14" bestFit="1" customWidth="1"/>
    <col min="194" max="194" width="9" style="15" bestFit="1" customWidth="1"/>
    <col min="195" max="197" width="8.75" style="14" bestFit="1" customWidth="1"/>
    <col min="198" max="198" width="8.58203125" style="14"/>
    <col min="199" max="199" width="8.75" style="14" bestFit="1" customWidth="1"/>
    <col min="200" max="200" width="9" style="15" bestFit="1" customWidth="1"/>
    <col min="201" max="201" width="8.58203125" style="14"/>
    <col min="202" max="203" width="8.75" style="14" bestFit="1" customWidth="1"/>
    <col min="204" max="204" width="8.58203125" style="14"/>
    <col min="205" max="205" width="8.75" style="14" bestFit="1" customWidth="1"/>
    <col min="206" max="206" width="9" style="15" bestFit="1" customWidth="1"/>
    <col min="207" max="211" width="8.58203125" style="14"/>
    <col min="212" max="212" width="8.83203125" style="15" bestFit="1" customWidth="1"/>
    <col min="213" max="217" width="8.58203125" style="14"/>
    <col min="218" max="218" width="8.83203125" style="15" bestFit="1" customWidth="1"/>
    <col min="219" max="223" width="8.58203125" style="14"/>
    <col min="224" max="224" width="8.83203125" style="15" bestFit="1" customWidth="1"/>
    <col min="225" max="225" width="9.33203125" style="14" bestFit="1" customWidth="1"/>
    <col min="226" max="226" width="9.25" style="14" bestFit="1" customWidth="1"/>
    <col min="227" max="228" width="8.58203125" style="14"/>
    <col min="229" max="229" width="9.33203125" style="14" bestFit="1" customWidth="1"/>
    <col min="230" max="230" width="9.33203125" style="15" bestFit="1" customWidth="1"/>
    <col min="231" max="231" width="9.33203125" style="14" bestFit="1" customWidth="1"/>
    <col min="232" max="232" width="9.25" style="14" bestFit="1" customWidth="1"/>
    <col min="233" max="235" width="8.58203125" style="14"/>
    <col min="236" max="236" width="8.83203125" style="15" bestFit="1" customWidth="1"/>
    <col min="237" max="241" width="8.58203125" style="14"/>
    <col min="242" max="242" width="8.83203125" style="15" bestFit="1" customWidth="1"/>
    <col min="243" max="247" width="8.58203125" style="14"/>
    <col min="248" max="248" width="8.83203125" style="15" bestFit="1" customWidth="1"/>
    <col min="249" max="253" width="8.58203125" style="14"/>
    <col min="254" max="254" width="8.83203125" style="15" bestFit="1" customWidth="1"/>
    <col min="255" max="259" width="8.58203125" style="14"/>
    <col min="260" max="260" width="8.83203125" style="15" bestFit="1" customWidth="1"/>
    <col min="261" max="265" width="8.58203125" style="14"/>
    <col min="266" max="266" width="8.83203125" style="15" bestFit="1" customWidth="1"/>
    <col min="267" max="271" width="8.58203125" style="14"/>
    <col min="272" max="272" width="8.83203125" style="15" bestFit="1" customWidth="1"/>
    <col min="273" max="277" width="8.58203125" style="14"/>
    <col min="278" max="278" width="8.83203125" style="15" bestFit="1" customWidth="1"/>
    <col min="279" max="283" width="8.58203125" style="14"/>
    <col min="284" max="284" width="8.83203125" style="15" bestFit="1" customWidth="1"/>
    <col min="285" max="289" width="8.58203125" style="14"/>
    <col min="290" max="290" width="8.83203125" style="15" bestFit="1" customWidth="1"/>
    <col min="291" max="293" width="8.58203125" style="14"/>
    <col min="294" max="295" width="8.75" style="14" bestFit="1" customWidth="1"/>
    <col min="296" max="296" width="9" style="15" bestFit="1" customWidth="1"/>
    <col min="297" max="299" width="8.58203125" style="14"/>
    <col min="300" max="301" width="8.75" style="14" bestFit="1" customWidth="1"/>
    <col min="302" max="302" width="9" style="15" bestFit="1" customWidth="1"/>
    <col min="303" max="307" width="8.58203125" style="14"/>
    <col min="308" max="308" width="8.83203125" style="15" bestFit="1" customWidth="1"/>
    <col min="309" max="313" width="8.58203125" style="14"/>
    <col min="314" max="314" width="8.83203125" style="15" bestFit="1" customWidth="1"/>
    <col min="315" max="319" width="8.58203125" style="14"/>
    <col min="320" max="320" width="8.83203125" style="15" bestFit="1" customWidth="1"/>
    <col min="321" max="325" width="8.58203125" style="14"/>
    <col min="326" max="326" width="8.83203125" style="15" bestFit="1" customWidth="1"/>
    <col min="327" max="331" width="8.58203125" style="14"/>
    <col min="332" max="332" width="8.83203125" style="15" bestFit="1" customWidth="1"/>
    <col min="333" max="337" width="8.58203125" style="14"/>
    <col min="338" max="338" width="8.83203125" style="15" bestFit="1" customWidth="1"/>
    <col min="339" max="339" width="9.08203125" style="14" bestFit="1" customWidth="1"/>
    <col min="340" max="343" width="8.58203125" style="14"/>
    <col min="344" max="344" width="8.83203125" style="15" bestFit="1" customWidth="1"/>
    <col min="345" max="16384" width="8.58203125" style="8"/>
  </cols>
  <sheetData>
    <row r="1" spans="1:344" x14ac:dyDescent="0.45">
      <c r="A1" s="276" t="s">
        <v>450</v>
      </c>
      <c r="B1" s="277"/>
      <c r="C1" s="78" t="s">
        <v>32</v>
      </c>
      <c r="D1" s="32" t="s">
        <v>335</v>
      </c>
      <c r="E1" s="32" t="s">
        <v>359</v>
      </c>
      <c r="I1" s="78" t="s">
        <v>451</v>
      </c>
      <c r="J1" s="32" t="s">
        <v>335</v>
      </c>
      <c r="K1" s="32" t="s">
        <v>359</v>
      </c>
      <c r="O1" s="78" t="s">
        <v>3</v>
      </c>
      <c r="P1" s="32" t="s">
        <v>322</v>
      </c>
      <c r="Q1" s="32" t="s">
        <v>325</v>
      </c>
      <c r="U1" s="78" t="s">
        <v>452</v>
      </c>
      <c r="V1" s="32" t="s">
        <v>322</v>
      </c>
      <c r="W1" s="32" t="s">
        <v>325</v>
      </c>
      <c r="AA1" s="78" t="s">
        <v>453</v>
      </c>
      <c r="AB1" s="32" t="s">
        <v>322</v>
      </c>
      <c r="AC1" s="32" t="s">
        <v>325</v>
      </c>
      <c r="AG1" s="78" t="s">
        <v>33</v>
      </c>
      <c r="AH1" s="32" t="s">
        <v>324</v>
      </c>
      <c r="AI1" s="32" t="s">
        <v>330</v>
      </c>
      <c r="AM1" s="78" t="s">
        <v>451</v>
      </c>
      <c r="AN1" s="32" t="s">
        <v>335</v>
      </c>
      <c r="AO1" s="32" t="s">
        <v>359</v>
      </c>
      <c r="AS1" s="78" t="s">
        <v>454</v>
      </c>
      <c r="AT1" s="32" t="s">
        <v>335</v>
      </c>
      <c r="AU1" s="32" t="s">
        <v>325</v>
      </c>
      <c r="AY1" s="78" t="s">
        <v>455</v>
      </c>
      <c r="AZ1" s="32" t="s">
        <v>335</v>
      </c>
      <c r="BA1" s="32" t="s">
        <v>320</v>
      </c>
      <c r="BE1" s="78" t="s">
        <v>456</v>
      </c>
      <c r="BF1" s="32" t="s">
        <v>335</v>
      </c>
      <c r="BG1" s="32" t="s">
        <v>325</v>
      </c>
      <c r="BK1" s="78" t="s">
        <v>457</v>
      </c>
      <c r="BL1" s="32" t="s">
        <v>335</v>
      </c>
      <c r="BM1" s="32" t="s">
        <v>320</v>
      </c>
      <c r="BQ1" s="78" t="s">
        <v>458</v>
      </c>
      <c r="BR1" s="32" t="s">
        <v>335</v>
      </c>
      <c r="BS1" s="32" t="s">
        <v>359</v>
      </c>
      <c r="BW1" s="78" t="s">
        <v>459</v>
      </c>
      <c r="BX1" s="32" t="s">
        <v>324</v>
      </c>
      <c r="BY1" s="32" t="s">
        <v>359</v>
      </c>
      <c r="CC1" s="78" t="s">
        <v>460</v>
      </c>
      <c r="CD1" s="32" t="s">
        <v>322</v>
      </c>
      <c r="CE1" s="32" t="s">
        <v>118</v>
      </c>
      <c r="CI1" s="78" t="s">
        <v>461</v>
      </c>
      <c r="CJ1" s="32" t="s">
        <v>324</v>
      </c>
      <c r="CK1" s="32" t="s">
        <v>113</v>
      </c>
      <c r="CO1" s="78" t="s">
        <v>462</v>
      </c>
      <c r="CP1" s="32" t="s">
        <v>335</v>
      </c>
      <c r="CQ1" s="32" t="s">
        <v>330</v>
      </c>
      <c r="CU1" s="78" t="s">
        <v>463</v>
      </c>
      <c r="CV1" s="32" t="s">
        <v>324</v>
      </c>
      <c r="CW1" s="32" t="s">
        <v>330</v>
      </c>
      <c r="DA1" s="78" t="s">
        <v>464</v>
      </c>
      <c r="DB1" s="32" t="s">
        <v>166</v>
      </c>
      <c r="DC1" s="32" t="s">
        <v>330</v>
      </c>
      <c r="DG1" s="78" t="s">
        <v>465</v>
      </c>
      <c r="DH1" s="32" t="s">
        <v>335</v>
      </c>
      <c r="DI1" s="32" t="s">
        <v>113</v>
      </c>
      <c r="DM1" s="78" t="s">
        <v>466</v>
      </c>
      <c r="DN1" s="32" t="s">
        <v>335</v>
      </c>
      <c r="DO1" s="32" t="s">
        <v>113</v>
      </c>
      <c r="DS1" s="78" t="s">
        <v>467</v>
      </c>
      <c r="DT1" s="32" t="s">
        <v>322</v>
      </c>
      <c r="DU1" s="32" t="s">
        <v>320</v>
      </c>
      <c r="DY1" s="78" t="s">
        <v>468</v>
      </c>
      <c r="DZ1" s="32" t="s">
        <v>335</v>
      </c>
      <c r="EA1" s="32" t="s">
        <v>113</v>
      </c>
      <c r="EE1" s="78" t="s">
        <v>469</v>
      </c>
      <c r="EF1" s="32" t="s">
        <v>324</v>
      </c>
      <c r="EG1" s="32" t="s">
        <v>330</v>
      </c>
      <c r="EK1" s="78" t="s">
        <v>470</v>
      </c>
      <c r="EL1" s="32" t="s">
        <v>324</v>
      </c>
      <c r="EM1" s="32" t="s">
        <v>330</v>
      </c>
      <c r="EQ1" s="78" t="s">
        <v>471</v>
      </c>
      <c r="ER1" s="32" t="s">
        <v>335</v>
      </c>
      <c r="ES1" s="32" t="s">
        <v>325</v>
      </c>
      <c r="EW1" s="78" t="s">
        <v>472</v>
      </c>
      <c r="EX1" s="32" t="s">
        <v>335</v>
      </c>
      <c r="EY1" s="32" t="s">
        <v>118</v>
      </c>
      <c r="FC1" s="78" t="s">
        <v>473</v>
      </c>
      <c r="FD1" s="32" t="s">
        <v>324</v>
      </c>
      <c r="FE1" s="32" t="s">
        <v>113</v>
      </c>
      <c r="FI1" s="78" t="s">
        <v>474</v>
      </c>
      <c r="FJ1" s="32" t="s">
        <v>324</v>
      </c>
      <c r="FK1" s="32" t="s">
        <v>113</v>
      </c>
      <c r="FO1" s="78" t="s">
        <v>475</v>
      </c>
      <c r="FP1" s="32" t="s">
        <v>335</v>
      </c>
      <c r="FQ1" s="32" t="s">
        <v>320</v>
      </c>
      <c r="FU1" s="78" t="s">
        <v>476</v>
      </c>
      <c r="FV1" s="32" t="s">
        <v>335</v>
      </c>
      <c r="FW1" s="32" t="s">
        <v>320</v>
      </c>
      <c r="GA1" s="78" t="s">
        <v>0</v>
      </c>
      <c r="GB1" s="32" t="s">
        <v>335</v>
      </c>
      <c r="GC1" s="32" t="s">
        <v>118</v>
      </c>
      <c r="GG1" s="78" t="s">
        <v>477</v>
      </c>
      <c r="GH1" s="32" t="s">
        <v>335</v>
      </c>
      <c r="GI1" s="32" t="s">
        <v>330</v>
      </c>
      <c r="GM1" s="78" t="s">
        <v>478</v>
      </c>
      <c r="GN1" s="32" t="s">
        <v>335</v>
      </c>
      <c r="GO1" s="32" t="s">
        <v>330</v>
      </c>
      <c r="GS1" s="78" t="s">
        <v>9</v>
      </c>
      <c r="GT1" s="32" t="s">
        <v>167</v>
      </c>
      <c r="GU1" s="32" t="s">
        <v>90</v>
      </c>
      <c r="GY1" s="78" t="s">
        <v>8</v>
      </c>
      <c r="GZ1" s="32" t="s">
        <v>322</v>
      </c>
      <c r="HA1" s="32" t="s">
        <v>320</v>
      </c>
      <c r="HE1" s="78" t="s">
        <v>479</v>
      </c>
      <c r="HF1" s="32" t="s">
        <v>322</v>
      </c>
      <c r="HG1" s="32" t="s">
        <v>320</v>
      </c>
      <c r="HK1" s="78" t="s">
        <v>333</v>
      </c>
      <c r="HL1" s="32" t="s">
        <v>324</v>
      </c>
      <c r="HM1" s="32" t="s">
        <v>325</v>
      </c>
      <c r="HQ1" s="78" t="s">
        <v>480</v>
      </c>
      <c r="HR1" s="32" t="s">
        <v>335</v>
      </c>
      <c r="HS1" s="32" t="s">
        <v>320</v>
      </c>
      <c r="HW1" s="78" t="s">
        <v>481</v>
      </c>
      <c r="HX1" s="32" t="s">
        <v>335</v>
      </c>
      <c r="HY1" s="32" t="s">
        <v>320</v>
      </c>
      <c r="IC1" s="78" t="s">
        <v>482</v>
      </c>
      <c r="ID1" s="32" t="s">
        <v>335</v>
      </c>
      <c r="IE1" s="32" t="s">
        <v>320</v>
      </c>
      <c r="II1" s="78" t="s">
        <v>483</v>
      </c>
      <c r="IJ1" s="32" t="s">
        <v>335</v>
      </c>
      <c r="IK1" s="32" t="s">
        <v>330</v>
      </c>
      <c r="IO1" s="78" t="s">
        <v>342</v>
      </c>
      <c r="IP1" s="32" t="s">
        <v>335</v>
      </c>
      <c r="IQ1" s="32" t="s">
        <v>330</v>
      </c>
      <c r="IU1" s="78" t="s">
        <v>484</v>
      </c>
      <c r="IV1" s="32" t="s">
        <v>335</v>
      </c>
      <c r="IW1" s="32" t="s">
        <v>330</v>
      </c>
      <c r="JA1" s="78" t="s">
        <v>485</v>
      </c>
      <c r="JB1" s="32" t="s">
        <v>335</v>
      </c>
      <c r="JC1" s="32" t="s">
        <v>359</v>
      </c>
      <c r="JG1" s="78" t="s">
        <v>1</v>
      </c>
      <c r="JH1" s="32" t="s">
        <v>335</v>
      </c>
      <c r="JI1" s="32" t="s">
        <v>330</v>
      </c>
      <c r="JM1" s="124" t="s">
        <v>10</v>
      </c>
      <c r="JN1" s="32" t="s">
        <v>324</v>
      </c>
      <c r="JO1" s="32" t="s">
        <v>320</v>
      </c>
      <c r="JP1" s="32"/>
      <c r="JQ1" s="32"/>
      <c r="JR1" s="31"/>
      <c r="JS1" s="78" t="s">
        <v>486</v>
      </c>
      <c r="JT1" s="32" t="s">
        <v>335</v>
      </c>
      <c r="JU1" s="32" t="s">
        <v>118</v>
      </c>
      <c r="JY1" s="78" t="s">
        <v>31</v>
      </c>
      <c r="JZ1" s="32" t="s">
        <v>324</v>
      </c>
      <c r="KA1" s="32" t="s">
        <v>325</v>
      </c>
      <c r="KE1" s="78" t="s">
        <v>487</v>
      </c>
      <c r="KF1" s="32" t="s">
        <v>168</v>
      </c>
      <c r="KG1" s="32" t="s">
        <v>171</v>
      </c>
      <c r="KK1" s="78" t="s">
        <v>488</v>
      </c>
      <c r="KL1" s="32" t="s">
        <v>168</v>
      </c>
      <c r="KM1" s="32" t="s">
        <v>171</v>
      </c>
      <c r="KQ1" s="124" t="s">
        <v>2</v>
      </c>
      <c r="KR1" s="32" t="s">
        <v>167</v>
      </c>
      <c r="KS1" s="32" t="s">
        <v>94</v>
      </c>
      <c r="KT1" s="32"/>
      <c r="KU1" s="32"/>
      <c r="KV1" s="31"/>
      <c r="KW1" s="78" t="s">
        <v>489</v>
      </c>
      <c r="KX1" s="32" t="s">
        <v>167</v>
      </c>
      <c r="KY1" s="32" t="s">
        <v>94</v>
      </c>
      <c r="LC1" s="78" t="s">
        <v>490</v>
      </c>
      <c r="LD1" s="32" t="s">
        <v>335</v>
      </c>
      <c r="LE1" s="32" t="s">
        <v>113</v>
      </c>
      <c r="LI1" s="78" t="s">
        <v>354</v>
      </c>
      <c r="LJ1" s="32" t="s">
        <v>324</v>
      </c>
      <c r="LK1" s="32" t="s">
        <v>325</v>
      </c>
      <c r="LO1" s="78" t="s">
        <v>497</v>
      </c>
      <c r="LP1" s="32" t="s">
        <v>168</v>
      </c>
      <c r="LQ1" s="32" t="s">
        <v>174</v>
      </c>
      <c r="LU1" s="78" t="s">
        <v>498</v>
      </c>
      <c r="LV1" s="32" t="s">
        <v>167</v>
      </c>
      <c r="LW1" s="32" t="s">
        <v>174</v>
      </c>
      <c r="MA1" s="78" t="s">
        <v>499</v>
      </c>
      <c r="MB1" s="32" t="s">
        <v>167</v>
      </c>
      <c r="MC1" s="32" t="s">
        <v>174</v>
      </c>
    </row>
    <row r="2" spans="1:344" x14ac:dyDescent="0.45">
      <c r="A2" s="278"/>
      <c r="B2" s="279"/>
      <c r="C2" s="14" t="s">
        <v>368</v>
      </c>
      <c r="D2" s="14" t="s">
        <v>314</v>
      </c>
      <c r="E2" s="14" t="s">
        <v>205</v>
      </c>
      <c r="F2" s="14" t="s">
        <v>206</v>
      </c>
      <c r="G2" s="14" t="s">
        <v>315</v>
      </c>
      <c r="H2" s="15" t="s">
        <v>208</v>
      </c>
      <c r="I2" s="14" t="s">
        <v>368</v>
      </c>
      <c r="J2" s="14" t="s">
        <v>314</v>
      </c>
      <c r="K2" s="14" t="s">
        <v>205</v>
      </c>
      <c r="L2" s="14" t="s">
        <v>206</v>
      </c>
      <c r="M2" s="14" t="s">
        <v>315</v>
      </c>
      <c r="N2" s="15" t="s">
        <v>208</v>
      </c>
      <c r="O2" s="14" t="s">
        <v>368</v>
      </c>
      <c r="P2" s="14" t="s">
        <v>314</v>
      </c>
      <c r="Q2" s="14" t="s">
        <v>205</v>
      </c>
      <c r="R2" s="14" t="s">
        <v>206</v>
      </c>
      <c r="S2" s="14" t="s">
        <v>315</v>
      </c>
      <c r="T2" s="15" t="s">
        <v>208</v>
      </c>
      <c r="U2" s="14" t="s">
        <v>368</v>
      </c>
      <c r="V2" s="14" t="s">
        <v>314</v>
      </c>
      <c r="W2" s="14" t="s">
        <v>205</v>
      </c>
      <c r="X2" s="14" t="s">
        <v>206</v>
      </c>
      <c r="Y2" s="14" t="s">
        <v>315</v>
      </c>
      <c r="Z2" s="15" t="s">
        <v>208</v>
      </c>
      <c r="AA2" s="14" t="s">
        <v>368</v>
      </c>
      <c r="AB2" s="14" t="s">
        <v>314</v>
      </c>
      <c r="AC2" s="14" t="s">
        <v>205</v>
      </c>
      <c r="AD2" s="14" t="s">
        <v>206</v>
      </c>
      <c r="AE2" s="14" t="s">
        <v>315</v>
      </c>
      <c r="AF2" s="15" t="s">
        <v>208</v>
      </c>
      <c r="AG2" s="14" t="s">
        <v>368</v>
      </c>
      <c r="AH2" s="14" t="s">
        <v>314</v>
      </c>
      <c r="AI2" s="14" t="s">
        <v>205</v>
      </c>
      <c r="AJ2" s="14" t="s">
        <v>206</v>
      </c>
      <c r="AK2" s="14" t="s">
        <v>315</v>
      </c>
      <c r="AL2" s="15" t="s">
        <v>208</v>
      </c>
      <c r="AM2" s="14" t="s">
        <v>368</v>
      </c>
      <c r="AN2" s="14" t="s">
        <v>314</v>
      </c>
      <c r="AO2" s="14" t="s">
        <v>205</v>
      </c>
      <c r="AP2" s="14" t="s">
        <v>206</v>
      </c>
      <c r="AQ2" s="14" t="s">
        <v>315</v>
      </c>
      <c r="AR2" s="15" t="s">
        <v>208</v>
      </c>
      <c r="AS2" s="14" t="s">
        <v>368</v>
      </c>
      <c r="AT2" s="14" t="s">
        <v>314</v>
      </c>
      <c r="AU2" s="14" t="s">
        <v>205</v>
      </c>
      <c r="AV2" s="14" t="s">
        <v>206</v>
      </c>
      <c r="AW2" s="14" t="s">
        <v>315</v>
      </c>
      <c r="AX2" s="15" t="s">
        <v>208</v>
      </c>
      <c r="AY2" s="14" t="s">
        <v>368</v>
      </c>
      <c r="AZ2" s="14" t="s">
        <v>314</v>
      </c>
      <c r="BA2" s="14" t="s">
        <v>205</v>
      </c>
      <c r="BB2" s="14" t="s">
        <v>206</v>
      </c>
      <c r="BC2" s="14" t="s">
        <v>315</v>
      </c>
      <c r="BD2" s="15" t="s">
        <v>208</v>
      </c>
      <c r="BE2" s="14" t="s">
        <v>368</v>
      </c>
      <c r="BF2" s="14" t="s">
        <v>314</v>
      </c>
      <c r="BG2" s="14" t="s">
        <v>205</v>
      </c>
      <c r="BH2" s="14" t="s">
        <v>206</v>
      </c>
      <c r="BI2" s="14" t="s">
        <v>315</v>
      </c>
      <c r="BJ2" s="15" t="s">
        <v>208</v>
      </c>
      <c r="BK2" s="14" t="s">
        <v>368</v>
      </c>
      <c r="BL2" s="14" t="s">
        <v>314</v>
      </c>
      <c r="BM2" s="14" t="s">
        <v>205</v>
      </c>
      <c r="BN2" s="14" t="s">
        <v>206</v>
      </c>
      <c r="BO2" s="14" t="s">
        <v>315</v>
      </c>
      <c r="BP2" s="15" t="s">
        <v>208</v>
      </c>
      <c r="BQ2" s="14" t="s">
        <v>368</v>
      </c>
      <c r="BR2" s="14" t="s">
        <v>314</v>
      </c>
      <c r="BS2" s="14" t="s">
        <v>205</v>
      </c>
      <c r="BT2" s="14" t="s">
        <v>206</v>
      </c>
      <c r="BU2" s="14" t="s">
        <v>315</v>
      </c>
      <c r="BV2" s="15" t="s">
        <v>208</v>
      </c>
      <c r="BW2" s="14" t="s">
        <v>368</v>
      </c>
      <c r="BX2" s="14" t="s">
        <v>314</v>
      </c>
      <c r="BY2" s="14" t="s">
        <v>205</v>
      </c>
      <c r="BZ2" s="14" t="s">
        <v>206</v>
      </c>
      <c r="CA2" s="14" t="s">
        <v>315</v>
      </c>
      <c r="CB2" s="15" t="s">
        <v>208</v>
      </c>
      <c r="CC2" s="14" t="s">
        <v>368</v>
      </c>
      <c r="CD2" s="14" t="s">
        <v>314</v>
      </c>
      <c r="CE2" s="14" t="s">
        <v>205</v>
      </c>
      <c r="CF2" s="14" t="s">
        <v>206</v>
      </c>
      <c r="CG2" s="14" t="s">
        <v>315</v>
      </c>
      <c r="CH2" s="15" t="s">
        <v>208</v>
      </c>
      <c r="CI2" s="14" t="s">
        <v>368</v>
      </c>
      <c r="CJ2" s="14" t="s">
        <v>314</v>
      </c>
      <c r="CK2" s="14" t="s">
        <v>205</v>
      </c>
      <c r="CL2" s="14" t="s">
        <v>206</v>
      </c>
      <c r="CM2" s="14" t="s">
        <v>315</v>
      </c>
      <c r="CN2" s="15" t="s">
        <v>208</v>
      </c>
      <c r="CO2" s="14" t="s">
        <v>368</v>
      </c>
      <c r="CP2" s="14" t="s">
        <v>314</v>
      </c>
      <c r="CQ2" s="14" t="s">
        <v>205</v>
      </c>
      <c r="CR2" s="14" t="s">
        <v>206</v>
      </c>
      <c r="CS2" s="14" t="s">
        <v>315</v>
      </c>
      <c r="CT2" s="15" t="s">
        <v>208</v>
      </c>
      <c r="CU2" s="14" t="s">
        <v>368</v>
      </c>
      <c r="CV2" s="14" t="s">
        <v>314</v>
      </c>
      <c r="CW2" s="14" t="s">
        <v>205</v>
      </c>
      <c r="CX2" s="14" t="s">
        <v>206</v>
      </c>
      <c r="CY2" s="14" t="s">
        <v>315</v>
      </c>
      <c r="CZ2" s="15" t="s">
        <v>208</v>
      </c>
      <c r="DA2" s="14" t="s">
        <v>368</v>
      </c>
      <c r="DB2" s="14" t="s">
        <v>314</v>
      </c>
      <c r="DC2" s="14" t="s">
        <v>205</v>
      </c>
      <c r="DD2" s="14" t="s">
        <v>206</v>
      </c>
      <c r="DE2" s="14" t="s">
        <v>315</v>
      </c>
      <c r="DF2" s="15" t="s">
        <v>208</v>
      </c>
      <c r="DG2" s="14" t="s">
        <v>368</v>
      </c>
      <c r="DH2" s="14" t="s">
        <v>314</v>
      </c>
      <c r="DI2" s="14" t="s">
        <v>205</v>
      </c>
      <c r="DJ2" s="14" t="s">
        <v>206</v>
      </c>
      <c r="DK2" s="14" t="s">
        <v>315</v>
      </c>
      <c r="DL2" s="15" t="s">
        <v>208</v>
      </c>
      <c r="DM2" s="14" t="s">
        <v>368</v>
      </c>
      <c r="DN2" s="14" t="s">
        <v>314</v>
      </c>
      <c r="DO2" s="14" t="s">
        <v>205</v>
      </c>
      <c r="DP2" s="14" t="s">
        <v>206</v>
      </c>
      <c r="DQ2" s="14" t="s">
        <v>315</v>
      </c>
      <c r="DR2" s="15" t="s">
        <v>208</v>
      </c>
      <c r="DS2" s="14" t="s">
        <v>368</v>
      </c>
      <c r="DT2" s="14" t="s">
        <v>314</v>
      </c>
      <c r="DU2" s="14" t="s">
        <v>205</v>
      </c>
      <c r="DV2" s="14" t="s">
        <v>206</v>
      </c>
      <c r="DW2" s="14" t="s">
        <v>315</v>
      </c>
      <c r="DX2" s="15" t="s">
        <v>208</v>
      </c>
      <c r="DY2" s="14" t="s">
        <v>368</v>
      </c>
      <c r="DZ2" s="14" t="s">
        <v>314</v>
      </c>
      <c r="EA2" s="14" t="s">
        <v>205</v>
      </c>
      <c r="EB2" s="14" t="s">
        <v>206</v>
      </c>
      <c r="EC2" s="14" t="s">
        <v>315</v>
      </c>
      <c r="ED2" s="15" t="s">
        <v>208</v>
      </c>
      <c r="EE2" s="14" t="s">
        <v>368</v>
      </c>
      <c r="EF2" s="14" t="s">
        <v>314</v>
      </c>
      <c r="EG2" s="14" t="s">
        <v>205</v>
      </c>
      <c r="EH2" s="14" t="s">
        <v>206</v>
      </c>
      <c r="EI2" s="14" t="s">
        <v>315</v>
      </c>
      <c r="EJ2" s="15" t="s">
        <v>208</v>
      </c>
      <c r="EK2" s="14" t="s">
        <v>368</v>
      </c>
      <c r="EL2" s="14" t="s">
        <v>314</v>
      </c>
      <c r="EM2" s="14" t="s">
        <v>205</v>
      </c>
      <c r="EN2" s="14" t="s">
        <v>206</v>
      </c>
      <c r="EO2" s="14" t="s">
        <v>315</v>
      </c>
      <c r="EP2" s="15" t="s">
        <v>208</v>
      </c>
      <c r="EQ2" s="14" t="s">
        <v>368</v>
      </c>
      <c r="ER2" s="14" t="s">
        <v>314</v>
      </c>
      <c r="ES2" s="14" t="s">
        <v>205</v>
      </c>
      <c r="ET2" s="14" t="s">
        <v>206</v>
      </c>
      <c r="EU2" s="14" t="s">
        <v>315</v>
      </c>
      <c r="EV2" s="15" t="s">
        <v>208</v>
      </c>
      <c r="EW2" s="14" t="s">
        <v>368</v>
      </c>
      <c r="EX2" s="14" t="s">
        <v>314</v>
      </c>
      <c r="EY2" s="14" t="s">
        <v>205</v>
      </c>
      <c r="EZ2" s="14" t="s">
        <v>206</v>
      </c>
      <c r="FA2" s="14" t="s">
        <v>315</v>
      </c>
      <c r="FB2" s="15" t="s">
        <v>208</v>
      </c>
      <c r="FC2" s="14" t="s">
        <v>368</v>
      </c>
      <c r="FD2" s="14" t="s">
        <v>314</v>
      </c>
      <c r="FE2" s="14" t="s">
        <v>205</v>
      </c>
      <c r="FF2" s="14" t="s">
        <v>206</v>
      </c>
      <c r="FG2" s="14" t="s">
        <v>315</v>
      </c>
      <c r="FH2" s="15" t="s">
        <v>208</v>
      </c>
      <c r="FI2" s="14" t="s">
        <v>368</v>
      </c>
      <c r="FJ2" s="14" t="s">
        <v>314</v>
      </c>
      <c r="FK2" s="14" t="s">
        <v>205</v>
      </c>
      <c r="FL2" s="14" t="s">
        <v>206</v>
      </c>
      <c r="FM2" s="14" t="s">
        <v>315</v>
      </c>
      <c r="FN2" s="15" t="s">
        <v>208</v>
      </c>
      <c r="FO2" s="14" t="s">
        <v>368</v>
      </c>
      <c r="FP2" s="14" t="s">
        <v>314</v>
      </c>
      <c r="FQ2" s="14" t="s">
        <v>205</v>
      </c>
      <c r="FR2" s="14" t="s">
        <v>206</v>
      </c>
      <c r="FS2" s="14" t="s">
        <v>315</v>
      </c>
      <c r="FT2" s="15" t="s">
        <v>208</v>
      </c>
      <c r="FU2" s="14" t="s">
        <v>368</v>
      </c>
      <c r="FV2" s="14" t="s">
        <v>314</v>
      </c>
      <c r="FW2" s="14" t="s">
        <v>205</v>
      </c>
      <c r="FX2" s="14" t="s">
        <v>206</v>
      </c>
      <c r="FY2" s="14" t="s">
        <v>315</v>
      </c>
      <c r="FZ2" s="15" t="s">
        <v>208</v>
      </c>
      <c r="GA2" s="14" t="s">
        <v>368</v>
      </c>
      <c r="GB2" s="14" t="s">
        <v>314</v>
      </c>
      <c r="GC2" s="14" t="s">
        <v>205</v>
      </c>
      <c r="GD2" s="14" t="s">
        <v>206</v>
      </c>
      <c r="GE2" s="14" t="s">
        <v>315</v>
      </c>
      <c r="GF2" s="15" t="s">
        <v>208</v>
      </c>
      <c r="GG2" s="14" t="s">
        <v>368</v>
      </c>
      <c r="GH2" s="14" t="s">
        <v>314</v>
      </c>
      <c r="GI2" s="14" t="s">
        <v>205</v>
      </c>
      <c r="GJ2" s="14" t="s">
        <v>206</v>
      </c>
      <c r="GK2" s="14" t="s">
        <v>315</v>
      </c>
      <c r="GL2" s="15" t="s">
        <v>208</v>
      </c>
      <c r="GM2" s="14" t="s">
        <v>368</v>
      </c>
      <c r="GN2" s="14" t="s">
        <v>314</v>
      </c>
      <c r="GO2" s="14" t="s">
        <v>205</v>
      </c>
      <c r="GP2" s="14" t="s">
        <v>206</v>
      </c>
      <c r="GQ2" s="14" t="s">
        <v>315</v>
      </c>
      <c r="GR2" s="15" t="s">
        <v>208</v>
      </c>
      <c r="GS2" s="14" t="s">
        <v>368</v>
      </c>
      <c r="GT2" s="14" t="s">
        <v>314</v>
      </c>
      <c r="GU2" s="14" t="s">
        <v>205</v>
      </c>
      <c r="GV2" s="14" t="s">
        <v>206</v>
      </c>
      <c r="GW2" s="14" t="s">
        <v>315</v>
      </c>
      <c r="GX2" s="15" t="s">
        <v>208</v>
      </c>
      <c r="GY2" s="14" t="s">
        <v>368</v>
      </c>
      <c r="GZ2" s="14" t="s">
        <v>314</v>
      </c>
      <c r="HA2" s="14" t="s">
        <v>205</v>
      </c>
      <c r="HB2" s="14" t="s">
        <v>206</v>
      </c>
      <c r="HC2" s="14" t="s">
        <v>315</v>
      </c>
      <c r="HD2" s="15" t="s">
        <v>208</v>
      </c>
      <c r="HE2" s="14" t="s">
        <v>368</v>
      </c>
      <c r="HF2" s="14" t="s">
        <v>314</v>
      </c>
      <c r="HG2" s="14" t="s">
        <v>205</v>
      </c>
      <c r="HH2" s="14" t="s">
        <v>206</v>
      </c>
      <c r="HI2" s="14" t="s">
        <v>315</v>
      </c>
      <c r="HJ2" s="15" t="s">
        <v>208</v>
      </c>
      <c r="HK2" s="14" t="s">
        <v>368</v>
      </c>
      <c r="HL2" s="14" t="s">
        <v>314</v>
      </c>
      <c r="HM2" s="14" t="s">
        <v>205</v>
      </c>
      <c r="HN2" s="14" t="s">
        <v>206</v>
      </c>
      <c r="HO2" s="14" t="s">
        <v>315</v>
      </c>
      <c r="HP2" s="15" t="s">
        <v>208</v>
      </c>
      <c r="HQ2" s="14" t="s">
        <v>368</v>
      </c>
      <c r="HR2" s="14" t="s">
        <v>314</v>
      </c>
      <c r="HS2" s="14" t="s">
        <v>205</v>
      </c>
      <c r="HT2" s="14" t="s">
        <v>206</v>
      </c>
      <c r="HU2" s="14" t="s">
        <v>315</v>
      </c>
      <c r="HV2" s="15" t="s">
        <v>208</v>
      </c>
      <c r="HW2" s="14" t="s">
        <v>368</v>
      </c>
      <c r="HX2" s="14" t="s">
        <v>314</v>
      </c>
      <c r="HY2" s="14" t="s">
        <v>205</v>
      </c>
      <c r="HZ2" s="14" t="s">
        <v>206</v>
      </c>
      <c r="IA2" s="14" t="s">
        <v>315</v>
      </c>
      <c r="IB2" s="15" t="s">
        <v>208</v>
      </c>
      <c r="IC2" s="14" t="s">
        <v>368</v>
      </c>
      <c r="ID2" s="14" t="s">
        <v>314</v>
      </c>
      <c r="IE2" s="14" t="s">
        <v>205</v>
      </c>
      <c r="IF2" s="14" t="s">
        <v>206</v>
      </c>
      <c r="IG2" s="14" t="s">
        <v>315</v>
      </c>
      <c r="IH2" s="15" t="s">
        <v>208</v>
      </c>
      <c r="II2" s="14" t="s">
        <v>368</v>
      </c>
      <c r="IJ2" s="14" t="s">
        <v>314</v>
      </c>
      <c r="IK2" s="14" t="s">
        <v>205</v>
      </c>
      <c r="IL2" s="14" t="s">
        <v>206</v>
      </c>
      <c r="IM2" s="14" t="s">
        <v>315</v>
      </c>
      <c r="IN2" s="15" t="s">
        <v>208</v>
      </c>
      <c r="IO2" s="14" t="s">
        <v>368</v>
      </c>
      <c r="IP2" s="14" t="s">
        <v>314</v>
      </c>
      <c r="IQ2" s="14" t="s">
        <v>205</v>
      </c>
      <c r="IR2" s="14" t="s">
        <v>206</v>
      </c>
      <c r="IS2" s="14" t="s">
        <v>315</v>
      </c>
      <c r="IT2" s="15" t="s">
        <v>208</v>
      </c>
      <c r="IU2" s="14" t="s">
        <v>368</v>
      </c>
      <c r="IV2" s="14" t="s">
        <v>314</v>
      </c>
      <c r="IW2" s="14" t="s">
        <v>205</v>
      </c>
      <c r="IX2" s="14" t="s">
        <v>206</v>
      </c>
      <c r="IY2" s="14" t="s">
        <v>315</v>
      </c>
      <c r="IZ2" s="15" t="s">
        <v>208</v>
      </c>
      <c r="JA2" s="14" t="s">
        <v>368</v>
      </c>
      <c r="JB2" s="14" t="s">
        <v>314</v>
      </c>
      <c r="JC2" s="14" t="s">
        <v>205</v>
      </c>
      <c r="JD2" s="14" t="s">
        <v>206</v>
      </c>
      <c r="JE2" s="14" t="s">
        <v>315</v>
      </c>
      <c r="JF2" s="15" t="s">
        <v>208</v>
      </c>
      <c r="JG2" s="14" t="s">
        <v>368</v>
      </c>
      <c r="JH2" s="14" t="s">
        <v>314</v>
      </c>
      <c r="JI2" s="14" t="s">
        <v>205</v>
      </c>
      <c r="JJ2" s="14" t="s">
        <v>206</v>
      </c>
      <c r="JK2" s="14" t="s">
        <v>315</v>
      </c>
      <c r="JL2" s="15" t="s">
        <v>208</v>
      </c>
      <c r="JM2" s="14" t="s">
        <v>368</v>
      </c>
      <c r="JN2" s="14" t="s">
        <v>314</v>
      </c>
      <c r="JO2" s="14" t="s">
        <v>205</v>
      </c>
      <c r="JP2" s="14" t="s">
        <v>206</v>
      </c>
      <c r="JQ2" s="14" t="s">
        <v>315</v>
      </c>
      <c r="JR2" s="15" t="s">
        <v>208</v>
      </c>
      <c r="JS2" s="14" t="s">
        <v>368</v>
      </c>
      <c r="JT2" s="14" t="s">
        <v>314</v>
      </c>
      <c r="JU2" s="14" t="s">
        <v>205</v>
      </c>
      <c r="JV2" s="14" t="s">
        <v>206</v>
      </c>
      <c r="JW2" s="14" t="s">
        <v>315</v>
      </c>
      <c r="JX2" s="15" t="s">
        <v>208</v>
      </c>
      <c r="JY2" s="14" t="s">
        <v>368</v>
      </c>
      <c r="JZ2" s="14" t="s">
        <v>314</v>
      </c>
      <c r="KA2" s="14" t="s">
        <v>205</v>
      </c>
      <c r="KB2" s="14" t="s">
        <v>206</v>
      </c>
      <c r="KC2" s="14" t="s">
        <v>315</v>
      </c>
      <c r="KD2" s="15" t="s">
        <v>208</v>
      </c>
      <c r="KE2" s="14" t="s">
        <v>368</v>
      </c>
      <c r="KF2" s="14" t="s">
        <v>314</v>
      </c>
      <c r="KG2" s="14" t="s">
        <v>205</v>
      </c>
      <c r="KH2" s="14" t="s">
        <v>206</v>
      </c>
      <c r="KI2" s="14" t="s">
        <v>315</v>
      </c>
      <c r="KJ2" s="15" t="s">
        <v>208</v>
      </c>
      <c r="KK2" s="14" t="s">
        <v>368</v>
      </c>
      <c r="KL2" s="14" t="s">
        <v>314</v>
      </c>
      <c r="KM2" s="14" t="s">
        <v>205</v>
      </c>
      <c r="KN2" s="14" t="s">
        <v>206</v>
      </c>
      <c r="KO2" s="14" t="s">
        <v>315</v>
      </c>
      <c r="KP2" s="15" t="s">
        <v>208</v>
      </c>
      <c r="KQ2" s="14" t="s">
        <v>368</v>
      </c>
      <c r="KR2" s="14" t="s">
        <v>314</v>
      </c>
      <c r="KS2" s="14" t="s">
        <v>205</v>
      </c>
      <c r="KT2" s="14" t="s">
        <v>206</v>
      </c>
      <c r="KU2" s="14" t="s">
        <v>315</v>
      </c>
      <c r="KV2" s="15" t="s">
        <v>208</v>
      </c>
      <c r="KW2" s="14" t="s">
        <v>368</v>
      </c>
      <c r="KX2" s="14" t="s">
        <v>314</v>
      </c>
      <c r="KY2" s="14" t="s">
        <v>205</v>
      </c>
      <c r="KZ2" s="14" t="s">
        <v>206</v>
      </c>
      <c r="LA2" s="14" t="s">
        <v>315</v>
      </c>
      <c r="LB2" s="15" t="s">
        <v>208</v>
      </c>
      <c r="LC2" s="14" t="s">
        <v>368</v>
      </c>
      <c r="LD2" s="14" t="s">
        <v>314</v>
      </c>
      <c r="LE2" s="14" t="s">
        <v>205</v>
      </c>
      <c r="LF2" s="14" t="s">
        <v>206</v>
      </c>
      <c r="LG2" s="14" t="s">
        <v>315</v>
      </c>
      <c r="LH2" s="15" t="s">
        <v>208</v>
      </c>
      <c r="LI2" s="14" t="s">
        <v>368</v>
      </c>
      <c r="LJ2" s="14" t="s">
        <v>314</v>
      </c>
      <c r="LK2" s="14" t="s">
        <v>205</v>
      </c>
      <c r="LL2" s="14" t="s">
        <v>206</v>
      </c>
      <c r="LM2" s="14" t="s">
        <v>315</v>
      </c>
      <c r="LN2" s="15" t="s">
        <v>208</v>
      </c>
      <c r="LO2" s="14" t="s">
        <v>368</v>
      </c>
      <c r="LP2" s="14" t="s">
        <v>314</v>
      </c>
      <c r="LQ2" s="14" t="s">
        <v>205</v>
      </c>
      <c r="LR2" s="14" t="s">
        <v>206</v>
      </c>
      <c r="LS2" s="14" t="s">
        <v>315</v>
      </c>
      <c r="LT2" s="15" t="s">
        <v>208</v>
      </c>
      <c r="LU2" s="14" t="s">
        <v>368</v>
      </c>
      <c r="LV2" s="14" t="s">
        <v>314</v>
      </c>
      <c r="LW2" s="14" t="s">
        <v>205</v>
      </c>
      <c r="LX2" s="14" t="s">
        <v>206</v>
      </c>
      <c r="LY2" s="14" t="s">
        <v>315</v>
      </c>
      <c r="LZ2" s="15" t="s">
        <v>208</v>
      </c>
      <c r="MA2" s="14" t="s">
        <v>368</v>
      </c>
      <c r="MB2" s="14" t="s">
        <v>314</v>
      </c>
      <c r="MC2" s="14" t="s">
        <v>205</v>
      </c>
      <c r="MD2" s="14" t="s">
        <v>206</v>
      </c>
      <c r="ME2" s="14" t="s">
        <v>315</v>
      </c>
      <c r="MF2" s="15" t="s">
        <v>208</v>
      </c>
    </row>
    <row r="3" spans="1:344" s="19" customFormat="1" x14ac:dyDescent="0.45">
      <c r="A3" s="281" t="s">
        <v>251</v>
      </c>
      <c r="B3" s="18" t="s">
        <v>369</v>
      </c>
      <c r="H3" s="20"/>
      <c r="N3" s="20"/>
      <c r="P3" s="19">
        <v>0.64510000000000001</v>
      </c>
      <c r="Q3" s="19">
        <v>0.64510000000000001</v>
      </c>
      <c r="R3" s="19">
        <v>0.64510000000000001</v>
      </c>
      <c r="T3" s="20"/>
      <c r="V3" s="19">
        <v>0.64510000000000001</v>
      </c>
      <c r="W3" s="19">
        <v>0.64510000000000001</v>
      </c>
      <c r="X3" s="19">
        <v>0.64510000000000001</v>
      </c>
      <c r="Z3" s="20"/>
      <c r="AB3" s="19">
        <v>0.64510000000000001</v>
      </c>
      <c r="AC3" s="19">
        <v>0.64510000000000001</v>
      </c>
      <c r="AD3" s="19">
        <v>0.64510000000000001</v>
      </c>
      <c r="AF3" s="20"/>
      <c r="AL3" s="20"/>
      <c r="AR3" s="20"/>
      <c r="AS3" s="19">
        <v>0.95199999999999996</v>
      </c>
      <c r="AT3" s="19">
        <v>0.95199999999999996</v>
      </c>
      <c r="AU3" s="19">
        <v>0.95199999999999996</v>
      </c>
      <c r="AV3" s="19">
        <v>0.35020000000000001</v>
      </c>
      <c r="AW3" s="19">
        <v>0.35020000000000001</v>
      </c>
      <c r="AX3" s="20">
        <v>0.35020000000000001</v>
      </c>
      <c r="AY3" s="19">
        <v>0.35020000000000001</v>
      </c>
      <c r="AZ3" s="19">
        <v>0.35020000000000001</v>
      </c>
      <c r="BB3" s="19">
        <v>0.35020000000000001</v>
      </c>
      <c r="BC3" s="19">
        <v>0.65110000000000001</v>
      </c>
      <c r="BD3" s="20">
        <v>0.3009</v>
      </c>
      <c r="BE3" s="19">
        <v>0.35020000000000001</v>
      </c>
      <c r="BF3" s="19">
        <v>0.35020000000000001</v>
      </c>
      <c r="BG3" s="19">
        <v>0.35020000000000001</v>
      </c>
      <c r="BH3" s="19">
        <v>0.35020000000000001</v>
      </c>
      <c r="BI3" s="19">
        <v>0.95199999999999996</v>
      </c>
      <c r="BJ3" s="20">
        <v>0.95199999999999996</v>
      </c>
      <c r="BK3" s="19">
        <v>0.35020000000000001</v>
      </c>
      <c r="BL3" s="19">
        <v>0.65110000000000001</v>
      </c>
      <c r="BM3" s="19">
        <v>0.3009</v>
      </c>
      <c r="BN3" s="19">
        <v>0.35020000000000001</v>
      </c>
      <c r="BO3" s="19">
        <v>0.35020000000000001</v>
      </c>
      <c r="BP3" s="20"/>
      <c r="BV3" s="20"/>
      <c r="CB3" s="20"/>
      <c r="CH3" s="20"/>
      <c r="CI3" s="19">
        <v>0.14080000000000001</v>
      </c>
      <c r="CJ3" s="19">
        <v>0.14080000000000001</v>
      </c>
      <c r="CK3" s="19">
        <v>0.14080000000000001</v>
      </c>
      <c r="CL3" s="19">
        <v>0.14080000000000001</v>
      </c>
      <c r="CM3" s="19">
        <v>0.14080000000000001</v>
      </c>
      <c r="CN3" s="20">
        <v>0.14080000000000001</v>
      </c>
      <c r="CO3" s="19">
        <v>0.1507</v>
      </c>
      <c r="CP3" s="19">
        <v>0.1507</v>
      </c>
      <c r="CQ3" s="19">
        <v>0.1507</v>
      </c>
      <c r="CS3" s="19">
        <v>0.1507</v>
      </c>
      <c r="CT3" s="20">
        <v>0.1507</v>
      </c>
      <c r="CU3" s="19">
        <v>0.77549999999999997</v>
      </c>
      <c r="CV3" s="19">
        <v>0.77549999999999997</v>
      </c>
      <c r="CW3" s="19">
        <v>0.77549999999999997</v>
      </c>
      <c r="CZ3" s="20"/>
      <c r="DE3" s="19">
        <v>0.77549999999999997</v>
      </c>
      <c r="DF3" s="20">
        <v>0.77549999999999997</v>
      </c>
      <c r="DG3" s="19">
        <v>0.1618</v>
      </c>
      <c r="DH3" s="19">
        <v>0.1618</v>
      </c>
      <c r="DI3" s="19">
        <v>0.1618</v>
      </c>
      <c r="DK3" s="19">
        <v>0.1618</v>
      </c>
      <c r="DL3" s="20">
        <v>0.1618</v>
      </c>
      <c r="DM3" s="19">
        <f>16.18%+31.02%</f>
        <v>0.47199999999999998</v>
      </c>
      <c r="DN3" s="19">
        <f>16.18%+31.02%</f>
        <v>0.47199999999999998</v>
      </c>
      <c r="DO3" s="19">
        <f>16.18%+31.02%</f>
        <v>0.47199999999999998</v>
      </c>
      <c r="DQ3" s="19">
        <f>16.18%+31.02%</f>
        <v>0.47199999999999998</v>
      </c>
      <c r="DR3" s="20">
        <v>0.47199999999999998</v>
      </c>
      <c r="DX3" s="20"/>
      <c r="ED3" s="20"/>
      <c r="EJ3" s="20"/>
      <c r="EP3" s="20"/>
      <c r="EQ3" s="19">
        <v>0.4007</v>
      </c>
      <c r="ER3" s="19">
        <v>0.4007</v>
      </c>
      <c r="ES3" s="19">
        <v>0.4007</v>
      </c>
      <c r="EU3" s="19">
        <v>0.4007</v>
      </c>
      <c r="EV3" s="20">
        <v>0.4007</v>
      </c>
      <c r="EW3" s="19">
        <f>(2.32%+24.21%)*3</f>
        <v>0.79589999999999994</v>
      </c>
      <c r="EX3" s="19">
        <f t="shared" ref="EX3:FB3" si="0">(2.32%+24.21%)*3</f>
        <v>0.79589999999999994</v>
      </c>
      <c r="EY3" s="19">
        <f t="shared" si="0"/>
        <v>0.79589999999999994</v>
      </c>
      <c r="EZ3" s="19">
        <f t="shared" si="0"/>
        <v>0.79589999999999994</v>
      </c>
      <c r="FA3" s="19">
        <f t="shared" si="0"/>
        <v>0.79589999999999994</v>
      </c>
      <c r="FB3" s="20">
        <f t="shared" si="0"/>
        <v>0.79589999999999994</v>
      </c>
      <c r="FH3" s="20"/>
      <c r="FN3" s="20"/>
      <c r="FQ3" s="19">
        <v>-99.99</v>
      </c>
      <c r="FR3" s="19">
        <v>2.35</v>
      </c>
      <c r="FS3" s="19">
        <v>1.85</v>
      </c>
      <c r="FT3" s="20">
        <v>1.8</v>
      </c>
      <c r="FU3" s="19">
        <v>0.55000000000000004</v>
      </c>
      <c r="FV3" s="19">
        <v>0.05</v>
      </c>
      <c r="FZ3" s="20">
        <v>-99.99</v>
      </c>
      <c r="GF3" s="20"/>
      <c r="GG3" s="19">
        <v>0.12189999999999999</v>
      </c>
      <c r="GH3" s="19">
        <v>0.12189999999999999</v>
      </c>
      <c r="GI3" s="19">
        <v>0.12189999999999999</v>
      </c>
      <c r="GK3" s="19">
        <v>0.12189999999999999</v>
      </c>
      <c r="GL3" s="20">
        <v>0.12189999999999999</v>
      </c>
      <c r="GM3" s="19">
        <v>0.12189999999999999</v>
      </c>
      <c r="GN3" s="19">
        <v>0.12189999999999999</v>
      </c>
      <c r="GO3" s="19">
        <v>0.12189999999999999</v>
      </c>
      <c r="GQ3" s="19">
        <v>0.12189999999999999</v>
      </c>
      <c r="GR3" s="20">
        <v>0.12189999999999999</v>
      </c>
      <c r="GT3" s="19">
        <v>0.32679999999999998</v>
      </c>
      <c r="GU3" s="19">
        <v>0.32679999999999998</v>
      </c>
      <c r="GW3" s="19">
        <v>0.32679999999999998</v>
      </c>
      <c r="GX3" s="20">
        <v>0.32679999999999998</v>
      </c>
      <c r="GZ3" s="19">
        <v>0.20899999999999999</v>
      </c>
      <c r="HA3" s="19">
        <v>0.20899999999999999</v>
      </c>
      <c r="HC3" s="19">
        <v>0.20899999999999999</v>
      </c>
      <c r="HD3" s="20">
        <v>0.20899999999999999</v>
      </c>
      <c r="HF3" s="19">
        <v>0.20899999999999999</v>
      </c>
      <c r="HG3" s="19">
        <v>0.20899999999999999</v>
      </c>
      <c r="HJ3" s="20"/>
      <c r="HP3" s="20"/>
      <c r="HV3" s="20"/>
      <c r="IB3" s="20"/>
      <c r="IH3" s="20"/>
      <c r="IN3" s="20"/>
      <c r="IO3" s="19">
        <f>5.8%*5</f>
        <v>0.28999999999999998</v>
      </c>
      <c r="IP3" s="19">
        <f t="shared" ref="IP3:IZ3" si="1">5.8%*5</f>
        <v>0.28999999999999998</v>
      </c>
      <c r="IQ3" s="19">
        <f t="shared" si="1"/>
        <v>0.28999999999999998</v>
      </c>
      <c r="IR3" s="19">
        <f t="shared" si="1"/>
        <v>0.28999999999999998</v>
      </c>
      <c r="IS3" s="19">
        <f t="shared" si="1"/>
        <v>0.28999999999999998</v>
      </c>
      <c r="IT3" s="20">
        <f t="shared" si="1"/>
        <v>0.28999999999999998</v>
      </c>
      <c r="IU3" s="19">
        <f>5.8%*5</f>
        <v>0.28999999999999998</v>
      </c>
      <c r="IV3" s="19">
        <f t="shared" si="1"/>
        <v>0.28999999999999998</v>
      </c>
      <c r="IW3" s="19">
        <f t="shared" si="1"/>
        <v>0.28999999999999998</v>
      </c>
      <c r="IX3" s="19">
        <f t="shared" si="1"/>
        <v>0.28999999999999998</v>
      </c>
      <c r="IY3" s="19">
        <f t="shared" si="1"/>
        <v>0.28999999999999998</v>
      </c>
      <c r="IZ3" s="20">
        <f t="shared" si="1"/>
        <v>0.28999999999999998</v>
      </c>
      <c r="JF3" s="20"/>
      <c r="JG3" s="19">
        <v>0.152</v>
      </c>
      <c r="JH3" s="19">
        <v>0.152</v>
      </c>
      <c r="JI3" s="19">
        <v>0.152</v>
      </c>
      <c r="JJ3" s="19">
        <v>0.152</v>
      </c>
      <c r="JK3" s="19">
        <v>0.152</v>
      </c>
      <c r="JL3" s="20">
        <v>0.152</v>
      </c>
      <c r="JN3" s="19">
        <v>0.6</v>
      </c>
      <c r="JO3" s="19">
        <v>0.6</v>
      </c>
      <c r="JR3" s="20"/>
      <c r="JX3" s="20"/>
      <c r="JY3" s="19">
        <v>0.18010000000000001</v>
      </c>
      <c r="JZ3" s="19">
        <v>0.18010000000000001</v>
      </c>
      <c r="KA3" s="19">
        <v>0.18010000000000001</v>
      </c>
      <c r="KD3" s="20"/>
      <c r="KF3" s="19">
        <v>0.64510000000000001</v>
      </c>
      <c r="KG3" s="19">
        <v>0.64510000000000001</v>
      </c>
      <c r="KH3" s="19">
        <v>0.64510000000000001</v>
      </c>
      <c r="KI3" s="19">
        <v>0.15</v>
      </c>
      <c r="KJ3" s="20">
        <v>0.15</v>
      </c>
      <c r="KL3" s="19">
        <v>0.79510000000000003</v>
      </c>
      <c r="KM3" s="19">
        <v>0.79510000000000003</v>
      </c>
      <c r="KN3" s="19">
        <v>0.64510000000000001</v>
      </c>
      <c r="KP3" s="20"/>
      <c r="KQ3" s="19">
        <v>0.30159999999999998</v>
      </c>
      <c r="KR3" s="19">
        <v>0.30159999999999998</v>
      </c>
      <c r="KS3" s="19">
        <v>0.30159999999999998</v>
      </c>
      <c r="KT3" s="19">
        <v>0.30159999999999998</v>
      </c>
      <c r="KU3" s="19">
        <v>0.30159999999999998</v>
      </c>
      <c r="KV3" s="20">
        <v>0.30159999999999998</v>
      </c>
      <c r="KW3" s="19">
        <v>0.46460000000000001</v>
      </c>
      <c r="KX3" s="19">
        <v>0.46460000000000001</v>
      </c>
      <c r="KY3" s="19">
        <v>0.46460000000000001</v>
      </c>
      <c r="KZ3" s="19">
        <v>0.46460000000000001</v>
      </c>
      <c r="LA3" s="19">
        <v>0.46460000000000001</v>
      </c>
      <c r="LB3" s="20">
        <v>0.46460000000000001</v>
      </c>
      <c r="LC3" s="19">
        <v>0.66520000000000001</v>
      </c>
      <c r="LD3" s="19">
        <v>0.66520000000000001</v>
      </c>
      <c r="LE3" s="19">
        <v>0.66520000000000001</v>
      </c>
      <c r="LF3" s="19">
        <v>0.66520000000000001</v>
      </c>
      <c r="LG3" s="19">
        <v>0.66520000000000001</v>
      </c>
      <c r="LH3" s="20">
        <v>0.66520000000000001</v>
      </c>
      <c r="LI3" s="19">
        <v>0.16200000000000001</v>
      </c>
      <c r="LJ3" s="19">
        <v>0.16200000000000001</v>
      </c>
      <c r="LK3" s="19">
        <v>0.16200000000000001</v>
      </c>
      <c r="LL3" s="19">
        <v>0.16200000000000001</v>
      </c>
      <c r="LM3" s="19">
        <v>0.16200000000000001</v>
      </c>
      <c r="LN3" s="20">
        <v>0.16200000000000001</v>
      </c>
      <c r="LP3" s="19">
        <v>0.35010000000000002</v>
      </c>
      <c r="LQ3" s="19">
        <v>0.35010000000000002</v>
      </c>
      <c r="LS3" s="19">
        <v>0.35010000000000002</v>
      </c>
      <c r="LT3" s="20">
        <v>0.35010000000000002</v>
      </c>
      <c r="LV3" s="19">
        <v>0.45019999999999999</v>
      </c>
      <c r="LW3" s="19">
        <v>0.45019999999999999</v>
      </c>
      <c r="LX3" s="19">
        <v>0.45019999999999999</v>
      </c>
      <c r="LZ3" s="20"/>
      <c r="MA3" s="19">
        <f>45.02%+20%</f>
        <v>0.65020000000000011</v>
      </c>
      <c r="MB3" s="19">
        <f t="shared" ref="MB3:MF3" si="2">45.02%+20%</f>
        <v>0.65020000000000011</v>
      </c>
      <c r="MC3" s="19">
        <f t="shared" si="2"/>
        <v>0.65020000000000011</v>
      </c>
      <c r="MD3" s="19">
        <f t="shared" si="2"/>
        <v>0.65020000000000011</v>
      </c>
      <c r="ME3" s="19">
        <f t="shared" si="2"/>
        <v>0.65020000000000011</v>
      </c>
      <c r="MF3" s="20">
        <f t="shared" si="2"/>
        <v>0.65020000000000011</v>
      </c>
    </row>
    <row r="4" spans="1:344" s="14" customFormat="1" x14ac:dyDescent="0.45">
      <c r="A4" s="282"/>
      <c r="B4" s="16" t="s">
        <v>491</v>
      </c>
      <c r="H4" s="15"/>
      <c r="N4" s="15"/>
      <c r="T4" s="15"/>
      <c r="Z4" s="15"/>
      <c r="AF4" s="15"/>
      <c r="AL4" s="15"/>
      <c r="AR4" s="15"/>
      <c r="AX4" s="15"/>
      <c r="BD4" s="15"/>
      <c r="BJ4" s="15"/>
      <c r="BP4" s="15"/>
      <c r="BV4" s="15"/>
      <c r="CB4" s="15"/>
      <c r="CH4" s="15"/>
      <c r="CN4" s="15"/>
      <c r="CO4" s="14">
        <f>5%+15.08%+10.15%+20.1%+30.02%</f>
        <v>0.8035000000000001</v>
      </c>
      <c r="CP4" s="14">
        <f>5%+15.08%+10.15%+20.1%+30.02%</f>
        <v>0.8035000000000001</v>
      </c>
      <c r="CQ4" s="14">
        <f>5%+15.08%+10.15%+20.1%+30.02%</f>
        <v>0.8035000000000001</v>
      </c>
      <c r="CR4" s="14">
        <f>5%+15.08%</f>
        <v>0.20079999999999998</v>
      </c>
      <c r="CS4" s="14">
        <f>5%+15.08%+10.15%+20.1%+30.02%</f>
        <v>0.8035000000000001</v>
      </c>
      <c r="CT4" s="15">
        <f>5%+15.08%+10.15%+20.1%+30.02%</f>
        <v>0.8035000000000001</v>
      </c>
      <c r="CZ4" s="15"/>
      <c r="DF4" s="15"/>
      <c r="DL4" s="15"/>
      <c r="DR4" s="15"/>
      <c r="DX4" s="15"/>
      <c r="ED4" s="15"/>
      <c r="EJ4" s="15"/>
      <c r="EP4" s="15"/>
      <c r="EV4" s="15"/>
      <c r="FB4" s="15"/>
      <c r="FH4" s="15"/>
      <c r="FN4" s="15"/>
      <c r="FT4" s="15"/>
      <c r="FZ4" s="15"/>
      <c r="GF4" s="15"/>
      <c r="GL4" s="15"/>
      <c r="GR4" s="15"/>
      <c r="GX4" s="15"/>
      <c r="HD4" s="15"/>
      <c r="HJ4" s="15"/>
      <c r="HP4" s="15"/>
      <c r="HQ4" s="14">
        <v>0.6512</v>
      </c>
      <c r="HR4" s="14">
        <v>0.6512</v>
      </c>
      <c r="HS4" s="14">
        <v>0.6512</v>
      </c>
      <c r="HT4" s="14">
        <v>0.44979999999999998</v>
      </c>
      <c r="HU4" s="14">
        <v>0.6512</v>
      </c>
      <c r="HV4" s="15">
        <v>0.6512</v>
      </c>
      <c r="HW4" s="14">
        <v>0.6512</v>
      </c>
      <c r="HX4" s="14">
        <v>0.6512</v>
      </c>
      <c r="HY4" s="14">
        <v>0.6512</v>
      </c>
      <c r="HZ4" s="14">
        <v>0.44979999999999998</v>
      </c>
      <c r="IA4" s="14">
        <v>0.44979999999999998</v>
      </c>
      <c r="IB4" s="15">
        <v>0.44979999999999998</v>
      </c>
      <c r="IG4" s="14">
        <v>0.2014</v>
      </c>
      <c r="IH4" s="15">
        <v>0.2014</v>
      </c>
      <c r="IN4" s="15"/>
      <c r="IT4" s="15"/>
      <c r="IZ4" s="15"/>
      <c r="JF4" s="15"/>
      <c r="JL4" s="15"/>
      <c r="JR4" s="15"/>
      <c r="JX4" s="15"/>
      <c r="KD4" s="15"/>
      <c r="KJ4" s="15"/>
      <c r="KP4" s="15"/>
      <c r="KV4" s="15"/>
      <c r="LB4" s="15"/>
      <c r="LH4" s="15"/>
      <c r="LN4" s="15"/>
      <c r="LT4" s="15"/>
      <c r="LZ4" s="15"/>
      <c r="MF4" s="15"/>
    </row>
    <row r="5" spans="1:344" s="50" customFormat="1" x14ac:dyDescent="0.45">
      <c r="A5" s="282"/>
      <c r="B5" s="49" t="s">
        <v>371</v>
      </c>
      <c r="H5" s="51"/>
      <c r="N5" s="51"/>
      <c r="S5" s="50">
        <v>0.37440000000000001</v>
      </c>
      <c r="T5" s="51">
        <v>0.37440000000000001</v>
      </c>
      <c r="Y5" s="50">
        <v>0.37440000000000001</v>
      </c>
      <c r="Z5" s="51">
        <v>0.37440000000000001</v>
      </c>
      <c r="AE5" s="50">
        <v>0.37440000000000001</v>
      </c>
      <c r="AF5" s="51">
        <v>0.37440000000000001</v>
      </c>
      <c r="AL5" s="51"/>
      <c r="AR5" s="51"/>
      <c r="AX5" s="51"/>
      <c r="BD5" s="51"/>
      <c r="BJ5" s="51"/>
      <c r="BP5" s="51"/>
      <c r="BV5" s="51"/>
      <c r="CB5" s="51"/>
      <c r="CH5" s="51"/>
      <c r="CN5" s="51"/>
      <c r="CT5" s="51"/>
      <c r="CU5" s="50">
        <v>0.50680000000000003</v>
      </c>
      <c r="CV5" s="50">
        <v>0.50680000000000003</v>
      </c>
      <c r="CW5" s="50">
        <v>0.50680000000000003</v>
      </c>
      <c r="CZ5" s="51"/>
      <c r="DE5" s="50">
        <v>0.50680000000000003</v>
      </c>
      <c r="DF5" s="51">
        <v>0.50680000000000003</v>
      </c>
      <c r="DL5" s="51"/>
      <c r="DR5" s="51"/>
      <c r="DX5" s="51"/>
      <c r="ED5" s="51"/>
      <c r="EJ5" s="51"/>
      <c r="EP5" s="51"/>
      <c r="EV5" s="51"/>
      <c r="FB5" s="51"/>
      <c r="FH5" s="51"/>
      <c r="FN5" s="51"/>
      <c r="FT5" s="51"/>
      <c r="FZ5" s="51"/>
      <c r="GF5" s="51"/>
      <c r="GL5" s="51"/>
      <c r="GR5" s="51"/>
      <c r="GX5" s="51"/>
      <c r="HD5" s="51"/>
      <c r="HJ5" s="51"/>
      <c r="HP5" s="51"/>
      <c r="HV5" s="51"/>
      <c r="IB5" s="51"/>
      <c r="IH5" s="51"/>
      <c r="IN5" s="51"/>
      <c r="IT5" s="51"/>
      <c r="IZ5" s="51"/>
      <c r="JF5" s="51"/>
      <c r="JL5" s="51"/>
      <c r="JR5" s="51"/>
      <c r="JX5" s="51"/>
      <c r="KD5" s="51"/>
      <c r="KI5" s="50">
        <v>0.37440000000000001</v>
      </c>
      <c r="KJ5" s="51">
        <v>0.37440000000000001</v>
      </c>
      <c r="KO5" s="50">
        <v>0.37440000000000001</v>
      </c>
      <c r="KP5" s="51">
        <v>0.37440000000000001</v>
      </c>
      <c r="KV5" s="51"/>
      <c r="LB5" s="51"/>
      <c r="LH5" s="51"/>
      <c r="LN5" s="51"/>
      <c r="LT5" s="51"/>
      <c r="LZ5" s="51"/>
      <c r="MF5" s="51"/>
    </row>
    <row r="6" spans="1:344" x14ac:dyDescent="0.45">
      <c r="A6" s="272" t="s">
        <v>255</v>
      </c>
      <c r="B6" s="17" t="s">
        <v>256</v>
      </c>
      <c r="BQ6" s="14">
        <v>0.80420000000000003</v>
      </c>
      <c r="BR6" s="14">
        <v>0.80420000000000003</v>
      </c>
      <c r="BU6" s="14">
        <v>0.80420000000000003</v>
      </c>
      <c r="FD6" s="14">
        <f>11.85%+63.88%</f>
        <v>0.75730000000000008</v>
      </c>
      <c r="FE6" s="14">
        <f>11.85%+63.88%</f>
        <v>0.75730000000000008</v>
      </c>
      <c r="FG6" s="14">
        <f>11.85%+63.88%</f>
        <v>0.75730000000000008</v>
      </c>
      <c r="FH6" s="15">
        <v>0.75730000000000008</v>
      </c>
      <c r="II6" s="14">
        <v>8.0799999999999997E-2</v>
      </c>
      <c r="IJ6" s="14">
        <v>0.158</v>
      </c>
      <c r="IK6" s="14">
        <v>0.158</v>
      </c>
      <c r="IL6" s="14">
        <v>8.0799999999999997E-2</v>
      </c>
      <c r="IM6" s="14">
        <v>8.0799999999999997E-2</v>
      </c>
      <c r="IN6" s="15">
        <v>8.0799999999999997E-2</v>
      </c>
      <c r="JA6" s="19">
        <v>0.40400000000000003</v>
      </c>
      <c r="JB6" s="19">
        <v>0.40400000000000003</v>
      </c>
      <c r="JC6" s="19">
        <v>0.40400000000000003</v>
      </c>
      <c r="JD6" s="19"/>
      <c r="JE6" s="19">
        <v>0.40400000000000003</v>
      </c>
      <c r="JF6" s="20">
        <v>0.40400000000000003</v>
      </c>
    </row>
    <row r="7" spans="1:344" x14ac:dyDescent="0.45">
      <c r="A7" s="272"/>
      <c r="B7" s="17" t="s">
        <v>257</v>
      </c>
      <c r="IO7" s="14">
        <f>2.71%+13.77%</f>
        <v>0.1648</v>
      </c>
      <c r="IP7" s="14">
        <f t="shared" ref="IP7" si="3">2.71%+13.77%</f>
        <v>0.1648</v>
      </c>
      <c r="IQ7" s="14">
        <v>0.13769999999999999</v>
      </c>
      <c r="IR7" s="14">
        <v>0.13769999999999999</v>
      </c>
      <c r="IS7" s="14">
        <v>0.13769999999999999</v>
      </c>
      <c r="IT7" s="15">
        <v>0.13769999999999999</v>
      </c>
      <c r="IU7" s="14">
        <f>2.71%+13.77%</f>
        <v>0.1648</v>
      </c>
      <c r="IV7" s="14">
        <f t="shared" ref="IV7" si="4">2.71%+13.77%</f>
        <v>0.1648</v>
      </c>
      <c r="IW7" s="14">
        <v>0.13769999999999999</v>
      </c>
      <c r="IX7" s="14">
        <v>0.13769999999999999</v>
      </c>
      <c r="IY7" s="14">
        <v>0.13769999999999999</v>
      </c>
      <c r="IZ7" s="15">
        <v>0.13769999999999999</v>
      </c>
    </row>
    <row r="8" spans="1:344" s="19" customFormat="1" x14ac:dyDescent="0.45">
      <c r="A8" s="280" t="s">
        <v>258</v>
      </c>
      <c r="B8" s="21" t="s">
        <v>259</v>
      </c>
      <c r="C8" s="19">
        <v>0.1013</v>
      </c>
      <c r="D8" s="19">
        <f>10.13%+4%</f>
        <v>0.14130000000000001</v>
      </c>
      <c r="E8" s="19">
        <f>10.13%+4%</f>
        <v>0.14130000000000001</v>
      </c>
      <c r="G8" s="19">
        <f>10.13%+4%</f>
        <v>0.14130000000000001</v>
      </c>
      <c r="H8" s="20">
        <f>10.13%+4%</f>
        <v>0.14130000000000001</v>
      </c>
      <c r="J8" s="19">
        <v>0.04</v>
      </c>
      <c r="K8" s="19">
        <v>0.04</v>
      </c>
      <c r="M8" s="19">
        <v>0.04</v>
      </c>
      <c r="N8" s="20">
        <v>0.04</v>
      </c>
      <c r="O8" s="19">
        <v>0.57230000000000003</v>
      </c>
      <c r="P8" s="19">
        <v>0.57230000000000003</v>
      </c>
      <c r="Q8" s="19">
        <v>0.57230000000000003</v>
      </c>
      <c r="R8" s="19">
        <v>0.57230000000000003</v>
      </c>
      <c r="S8" s="19">
        <v>0.57230000000000003</v>
      </c>
      <c r="T8" s="20">
        <v>0.57230000000000003</v>
      </c>
      <c r="U8" s="19">
        <v>0.3624</v>
      </c>
      <c r="V8" s="19">
        <v>0.3624</v>
      </c>
      <c r="W8" s="19">
        <v>0.3624</v>
      </c>
      <c r="X8" s="19">
        <v>0.3624</v>
      </c>
      <c r="Y8" s="19">
        <v>0.3624</v>
      </c>
      <c r="Z8" s="20">
        <v>0.3624</v>
      </c>
      <c r="AF8" s="20"/>
      <c r="AH8" s="19">
        <v>0.2787</v>
      </c>
      <c r="AI8" s="19">
        <v>0.2787</v>
      </c>
      <c r="AK8" s="19">
        <v>0.2787</v>
      </c>
      <c r="AL8" s="20">
        <v>0.2787</v>
      </c>
      <c r="AN8" s="19">
        <v>0.04</v>
      </c>
      <c r="AO8" s="19">
        <v>0.04</v>
      </c>
      <c r="AQ8" s="19">
        <v>0.04</v>
      </c>
      <c r="AR8" s="20">
        <v>0.04</v>
      </c>
      <c r="AS8" s="19">
        <v>0.15040000000000001</v>
      </c>
      <c r="AT8" s="19">
        <v>0.15040000000000001</v>
      </c>
      <c r="AU8" s="19">
        <v>0.15040000000000001</v>
      </c>
      <c r="AX8" s="20"/>
      <c r="BD8" s="20"/>
      <c r="BI8" s="19">
        <v>0.15040000000000001</v>
      </c>
      <c r="BJ8" s="20">
        <v>0.15040000000000001</v>
      </c>
      <c r="BP8" s="20"/>
      <c r="BV8" s="20"/>
      <c r="CB8" s="20"/>
      <c r="CH8" s="20"/>
      <c r="CN8" s="20"/>
      <c r="CO8" s="19">
        <v>6.6500000000000004E-2</v>
      </c>
      <c r="CP8" s="19">
        <v>6.6500000000000004E-2</v>
      </c>
      <c r="CQ8" s="19">
        <v>6.6500000000000004E-2</v>
      </c>
      <c r="CR8" s="19">
        <v>6.6500000000000004E-2</v>
      </c>
      <c r="CS8" s="19">
        <v>6.6500000000000004E-2</v>
      </c>
      <c r="CT8" s="20">
        <v>6.6500000000000004E-2</v>
      </c>
      <c r="CZ8" s="20"/>
      <c r="DF8" s="20"/>
      <c r="DL8" s="20"/>
      <c r="DR8" s="20"/>
      <c r="DS8" s="19">
        <v>0.3211</v>
      </c>
      <c r="DT8" s="19">
        <v>0.3211</v>
      </c>
      <c r="DU8" s="19">
        <v>0.3211</v>
      </c>
      <c r="DV8" s="19">
        <v>0.3211</v>
      </c>
      <c r="DW8" s="19">
        <v>0.3211</v>
      </c>
      <c r="DX8" s="20">
        <v>0.3211</v>
      </c>
      <c r="ED8" s="20"/>
      <c r="EJ8" s="20"/>
      <c r="EP8" s="20"/>
      <c r="EV8" s="20"/>
      <c r="FB8" s="20"/>
      <c r="FH8" s="20"/>
      <c r="FN8" s="20"/>
      <c r="FP8" s="19">
        <v>0.1</v>
      </c>
      <c r="FR8" s="19">
        <v>1.9750000000000001</v>
      </c>
      <c r="FS8" s="19">
        <v>1.875</v>
      </c>
      <c r="FT8" s="20">
        <v>1.8</v>
      </c>
      <c r="FU8" s="19">
        <v>0.17499999999999999</v>
      </c>
      <c r="FV8" s="19">
        <v>7.4999999999999997E-2</v>
      </c>
      <c r="FY8" s="19">
        <v>0.1</v>
      </c>
      <c r="FZ8" s="20"/>
      <c r="GA8" s="19">
        <v>0.48199999999999998</v>
      </c>
      <c r="GB8" s="19">
        <v>0.48199999999999998</v>
      </c>
      <c r="GC8" s="19">
        <v>0.48199999999999998</v>
      </c>
      <c r="GE8" s="19">
        <v>0.48199999999999998</v>
      </c>
      <c r="GF8" s="20">
        <v>0.48199999999999998</v>
      </c>
      <c r="GG8" s="19">
        <v>5.0599999999999999E-2</v>
      </c>
      <c r="GH8" s="19">
        <v>5.0599999999999999E-2</v>
      </c>
      <c r="GI8" s="19">
        <v>5.0599999999999999E-2</v>
      </c>
      <c r="GJ8" s="19">
        <v>5.0599999999999999E-2</v>
      </c>
      <c r="GK8" s="19">
        <v>5.0599999999999999E-2</v>
      </c>
      <c r="GL8" s="20">
        <v>5.0599999999999999E-2</v>
      </c>
      <c r="GM8" s="19">
        <v>5.0599999999999999E-2</v>
      </c>
      <c r="GN8" s="19">
        <v>5.0599999999999999E-2</v>
      </c>
      <c r="GO8" s="19">
        <v>5.0599999999999999E-2</v>
      </c>
      <c r="GP8" s="19">
        <v>5.0599999999999999E-2</v>
      </c>
      <c r="GQ8" s="19">
        <v>5.0599999999999999E-2</v>
      </c>
      <c r="GR8" s="20">
        <v>5.0599999999999999E-2</v>
      </c>
      <c r="GX8" s="20"/>
      <c r="HD8" s="20"/>
      <c r="HJ8" s="20"/>
      <c r="HP8" s="20"/>
      <c r="HQ8" s="19">
        <v>1.1505000000000001</v>
      </c>
      <c r="HR8" s="19">
        <v>1.1505000000000001</v>
      </c>
      <c r="HS8" s="19">
        <v>1.1505000000000001</v>
      </c>
      <c r="HU8" s="19">
        <v>1.1505000000000001</v>
      </c>
      <c r="HV8" s="20">
        <v>1.1505000000000001</v>
      </c>
      <c r="HW8" s="19">
        <v>1.1505000000000001</v>
      </c>
      <c r="HX8" s="19">
        <v>1.1505000000000001</v>
      </c>
      <c r="HY8" s="19">
        <v>1.1505000000000001</v>
      </c>
      <c r="IB8" s="20"/>
      <c r="IG8" s="19">
        <v>0.20899999999999999</v>
      </c>
      <c r="IH8" s="20">
        <v>0.20899999999999999</v>
      </c>
      <c r="IN8" s="20"/>
      <c r="IT8" s="20"/>
      <c r="IZ8" s="20"/>
      <c r="JF8" s="20"/>
      <c r="JH8" s="19">
        <v>0.5504</v>
      </c>
      <c r="JI8" s="19">
        <v>0.5504</v>
      </c>
      <c r="JK8" s="19">
        <v>0.5504</v>
      </c>
      <c r="JL8" s="20">
        <v>0.5504</v>
      </c>
      <c r="JR8" s="20"/>
      <c r="JX8" s="20"/>
      <c r="JZ8" s="19">
        <v>8.0199999999999994E-2</v>
      </c>
      <c r="KA8" s="19">
        <v>8.0199999999999994E-2</v>
      </c>
      <c r="KC8" s="19">
        <v>8.0199999999999994E-2</v>
      </c>
      <c r="KD8" s="20">
        <v>8.0199999999999994E-2</v>
      </c>
      <c r="KE8" s="19">
        <v>0.2099</v>
      </c>
      <c r="KF8" s="19">
        <v>0.57230000000000003</v>
      </c>
      <c r="KG8" s="19">
        <v>0.57230000000000003</v>
      </c>
      <c r="KH8" s="19">
        <v>0.57230000000000003</v>
      </c>
      <c r="KI8" s="19">
        <v>0.2099</v>
      </c>
      <c r="KJ8" s="20">
        <v>0.2099</v>
      </c>
      <c r="KK8" s="19">
        <v>0.57230000000000003</v>
      </c>
      <c r="KL8" s="19">
        <v>0.2099</v>
      </c>
      <c r="KM8" s="19">
        <v>0.2099</v>
      </c>
      <c r="KN8" s="19">
        <v>0.57230000000000003</v>
      </c>
      <c r="KO8" s="19">
        <v>0.57230000000000003</v>
      </c>
      <c r="KP8" s="20">
        <v>0.57230000000000003</v>
      </c>
      <c r="KQ8" s="19">
        <v>0.35449999999999998</v>
      </c>
      <c r="KR8" s="19">
        <v>0.35449999999999998</v>
      </c>
      <c r="KS8" s="19">
        <v>0.35449999999999998</v>
      </c>
      <c r="KT8" s="19">
        <v>0.35449999999999998</v>
      </c>
      <c r="KU8" s="19">
        <v>0.35449999999999998</v>
      </c>
      <c r="KV8" s="20">
        <v>0.35449999999999998</v>
      </c>
      <c r="KW8" s="19">
        <v>0.9244</v>
      </c>
      <c r="KX8" s="19">
        <v>0.9244</v>
      </c>
      <c r="KY8" s="19">
        <v>0.9244</v>
      </c>
      <c r="KZ8" s="19">
        <v>0.9244</v>
      </c>
      <c r="LA8" s="19">
        <v>0.9244</v>
      </c>
      <c r="LB8" s="20">
        <v>0.9244</v>
      </c>
      <c r="LH8" s="20"/>
      <c r="LN8" s="20"/>
      <c r="LP8" s="19">
        <v>0.34</v>
      </c>
      <c r="LQ8" s="19">
        <v>0.34</v>
      </c>
      <c r="LS8" s="19">
        <v>0.34</v>
      </c>
      <c r="LT8" s="20">
        <v>0.34</v>
      </c>
      <c r="LU8" s="19">
        <v>0.30020000000000002</v>
      </c>
      <c r="LV8" s="19">
        <v>0.30020000000000002</v>
      </c>
      <c r="LW8" s="19">
        <v>0.30020000000000002</v>
      </c>
      <c r="LY8" s="19">
        <v>0.30020000000000002</v>
      </c>
      <c r="LZ8" s="20">
        <v>0.30020000000000002</v>
      </c>
      <c r="MA8" s="19">
        <f>30.02%+25%</f>
        <v>0.55020000000000002</v>
      </c>
      <c r="MB8" s="19">
        <f>30.02%+25%</f>
        <v>0.55020000000000002</v>
      </c>
      <c r="MC8" s="19">
        <f>30.02%+25%</f>
        <v>0.55020000000000002</v>
      </c>
      <c r="ME8" s="19">
        <f>30.02%+25%</f>
        <v>0.55020000000000002</v>
      </c>
      <c r="MF8" s="20">
        <v>0.55020000000000002</v>
      </c>
    </row>
    <row r="9" spans="1:344" x14ac:dyDescent="0.45">
      <c r="A9" s="272"/>
      <c r="B9" s="17" t="s">
        <v>260</v>
      </c>
      <c r="EK9" s="14">
        <v>0.30969999999999998</v>
      </c>
      <c r="EL9" s="14">
        <v>0.30969999999999998</v>
      </c>
      <c r="EM9" s="14">
        <v>0.30969999999999998</v>
      </c>
      <c r="EN9" s="14">
        <v>0.30969999999999998</v>
      </c>
      <c r="EO9" s="14">
        <v>0.30969999999999998</v>
      </c>
      <c r="EP9" s="15">
        <v>0.30969999999999998</v>
      </c>
      <c r="EQ9" s="14">
        <v>0.30969999999999998</v>
      </c>
      <c r="ER9" s="14">
        <v>0.30969999999999998</v>
      </c>
      <c r="ES9" s="14">
        <v>0.30969999999999998</v>
      </c>
      <c r="ET9" s="14">
        <v>0.30969999999999998</v>
      </c>
      <c r="EU9" s="14">
        <v>0.30969999999999998</v>
      </c>
      <c r="EV9" s="15">
        <v>0.30969999999999998</v>
      </c>
      <c r="JN9" s="14">
        <v>0.5</v>
      </c>
      <c r="JO9" s="14">
        <v>0.5</v>
      </c>
    </row>
    <row r="10" spans="1:344" x14ac:dyDescent="0.45">
      <c r="A10" s="272"/>
      <c r="B10" s="17" t="s">
        <v>261</v>
      </c>
      <c r="GA10" s="14">
        <v>0.39979999999999999</v>
      </c>
      <c r="GB10" s="14">
        <v>0.39979999999999999</v>
      </c>
      <c r="GC10" s="14">
        <v>0.39979999999999999</v>
      </c>
      <c r="GE10" s="14">
        <v>0.39979999999999999</v>
      </c>
      <c r="GF10" s="15">
        <v>0.39979999999999999</v>
      </c>
      <c r="GH10" s="14">
        <v>0.13550000000000001</v>
      </c>
      <c r="GI10" s="14">
        <v>0.13550000000000001</v>
      </c>
      <c r="GK10" s="14">
        <v>0.13550000000000001</v>
      </c>
      <c r="GL10" s="15">
        <v>0.13550000000000001</v>
      </c>
      <c r="JG10" s="14">
        <v>0.18360000000000001</v>
      </c>
      <c r="JH10" s="14">
        <f>18.36%+10.13%</f>
        <v>0.28489999999999999</v>
      </c>
      <c r="JI10" s="14">
        <f>18.36%+10.13%</f>
        <v>0.28489999999999999</v>
      </c>
      <c r="JJ10" s="14">
        <v>0.18360000000000001</v>
      </c>
      <c r="JK10" s="14">
        <f>18.36%+10.13%</f>
        <v>0.28489999999999999</v>
      </c>
      <c r="JL10" s="15">
        <v>0.28489999999999999</v>
      </c>
      <c r="LU10" s="14">
        <v>0.32719999999999999</v>
      </c>
      <c r="LV10" s="14">
        <v>0.32719999999999999</v>
      </c>
      <c r="LW10" s="14">
        <v>0.32719999999999999</v>
      </c>
      <c r="MA10" s="14">
        <f>32.72%+13.09%</f>
        <v>0.45809999999999995</v>
      </c>
      <c r="MB10" s="14">
        <f t="shared" ref="MB10:MF10" si="5">32.72%+13.09%</f>
        <v>0.45809999999999995</v>
      </c>
      <c r="MC10" s="14">
        <f t="shared" si="5"/>
        <v>0.45809999999999995</v>
      </c>
      <c r="MD10" s="14">
        <v>0.13089999999999999</v>
      </c>
      <c r="ME10" s="14">
        <f t="shared" si="5"/>
        <v>0.45809999999999995</v>
      </c>
      <c r="MF10" s="15">
        <f t="shared" si="5"/>
        <v>0.45809999999999995</v>
      </c>
    </row>
    <row r="11" spans="1:344" x14ac:dyDescent="0.45">
      <c r="A11" s="272"/>
      <c r="B11" s="17" t="s">
        <v>262</v>
      </c>
    </row>
    <row r="12" spans="1:344" x14ac:dyDescent="0.45">
      <c r="A12" s="272"/>
      <c r="B12" s="17" t="s">
        <v>263</v>
      </c>
      <c r="EK12" s="14">
        <v>5.11E-2</v>
      </c>
      <c r="EL12" s="14">
        <v>5.11E-2</v>
      </c>
      <c r="EM12" s="14">
        <v>5.11E-2</v>
      </c>
      <c r="EN12" s="14">
        <v>5.11E-2</v>
      </c>
      <c r="EO12" s="14">
        <v>5.11E-2</v>
      </c>
      <c r="EP12" s="15">
        <v>5.11E-2</v>
      </c>
      <c r="EQ12" s="14">
        <v>5.4100000000000002E-2</v>
      </c>
      <c r="ER12" s="14">
        <v>5.4100000000000002E-2</v>
      </c>
      <c r="ES12" s="14">
        <v>5.4100000000000002E-2</v>
      </c>
      <c r="ET12" s="14">
        <v>5.4100000000000002E-2</v>
      </c>
      <c r="EU12" s="14">
        <v>5.4100000000000002E-2</v>
      </c>
      <c r="EV12" s="15">
        <v>5.4100000000000002E-2</v>
      </c>
      <c r="LP12" s="14">
        <v>0.92030000000000001</v>
      </c>
      <c r="LQ12" s="14">
        <v>0.92030000000000001</v>
      </c>
      <c r="LS12" s="14">
        <v>0.92030000000000001</v>
      </c>
      <c r="LT12" s="15">
        <v>0.92030000000000001</v>
      </c>
      <c r="LU12" s="14">
        <v>0.5</v>
      </c>
      <c r="LV12" s="14">
        <v>0.5</v>
      </c>
      <c r="LW12" s="14">
        <v>0.5</v>
      </c>
      <c r="MA12" s="14">
        <f>50%+20%</f>
        <v>0.7</v>
      </c>
      <c r="MB12" s="14">
        <f t="shared" ref="MB12:MF12" si="6">50%+20%</f>
        <v>0.7</v>
      </c>
      <c r="MC12" s="14">
        <f t="shared" si="6"/>
        <v>0.7</v>
      </c>
      <c r="MD12" s="14">
        <f t="shared" si="6"/>
        <v>0.7</v>
      </c>
      <c r="ME12" s="14">
        <f t="shared" si="6"/>
        <v>0.7</v>
      </c>
      <c r="MF12" s="15">
        <f t="shared" si="6"/>
        <v>0.7</v>
      </c>
    </row>
    <row r="13" spans="1:344" x14ac:dyDescent="0.45">
      <c r="A13" s="272"/>
      <c r="B13" s="17" t="s">
        <v>264</v>
      </c>
    </row>
    <row r="14" spans="1:344" x14ac:dyDescent="0.45">
      <c r="A14" s="272"/>
      <c r="B14" s="17" t="s">
        <v>265</v>
      </c>
      <c r="HQ14" s="14">
        <v>4.3559999999999999</v>
      </c>
      <c r="HR14" s="14">
        <v>4.3559999999999999</v>
      </c>
      <c r="HU14" s="14">
        <v>4.3559999999999999</v>
      </c>
      <c r="HV14" s="15">
        <v>4.3559999999999999</v>
      </c>
      <c r="HW14" s="14">
        <v>4.3559999999999999</v>
      </c>
      <c r="HX14" s="14">
        <v>4.3559999999999999</v>
      </c>
    </row>
    <row r="15" spans="1:344" x14ac:dyDescent="0.45">
      <c r="A15" s="272"/>
      <c r="B15" s="17" t="s">
        <v>266</v>
      </c>
    </row>
    <row r="16" spans="1:344" x14ac:dyDescent="0.45">
      <c r="A16" s="272"/>
      <c r="B16" s="15" t="s">
        <v>267</v>
      </c>
    </row>
    <row r="17" spans="1:344" x14ac:dyDescent="0.45">
      <c r="A17" s="272"/>
      <c r="B17" s="15" t="s">
        <v>268</v>
      </c>
    </row>
    <row r="18" spans="1:344" x14ac:dyDescent="0.45">
      <c r="A18" s="272"/>
      <c r="B18" s="17" t="s">
        <v>269</v>
      </c>
      <c r="AS18" s="14">
        <v>0.45090000000000002</v>
      </c>
      <c r="AT18" s="14">
        <v>0.45090000000000002</v>
      </c>
      <c r="AU18" s="14">
        <v>0.45090000000000002</v>
      </c>
      <c r="AW18" s="14">
        <v>0.45090000000000002</v>
      </c>
      <c r="AX18" s="15">
        <v>0.45090000000000002</v>
      </c>
      <c r="AZ18" s="14">
        <v>0.30399999999999999</v>
      </c>
      <c r="BA18" s="14">
        <v>0.30399999999999999</v>
      </c>
      <c r="BC18" s="14">
        <v>0.30399999999999999</v>
      </c>
      <c r="BD18" s="15">
        <v>0.30399999999999999</v>
      </c>
      <c r="BE18" s="14">
        <v>0.45090000000000002</v>
      </c>
      <c r="BF18" s="14">
        <v>0.45090000000000002</v>
      </c>
      <c r="BG18" s="14">
        <v>0.45090000000000002</v>
      </c>
      <c r="BI18" s="14">
        <v>0.45090000000000002</v>
      </c>
      <c r="BJ18" s="15">
        <v>0.45090000000000002</v>
      </c>
      <c r="BL18" s="14">
        <v>0.30399999999999999</v>
      </c>
      <c r="BM18" s="14">
        <v>0.30399999999999999</v>
      </c>
      <c r="BO18" s="14">
        <v>0.30399999999999999</v>
      </c>
      <c r="BP18" s="15">
        <v>0.30399999999999999</v>
      </c>
      <c r="KI18" s="14">
        <v>0.2</v>
      </c>
      <c r="KJ18" s="15">
        <v>0.2</v>
      </c>
      <c r="KL18" s="14">
        <v>0.2</v>
      </c>
      <c r="KM18" s="14">
        <v>0.2</v>
      </c>
    </row>
    <row r="19" spans="1:344" s="19" customFormat="1" x14ac:dyDescent="0.45">
      <c r="A19" s="244" t="s">
        <v>270</v>
      </c>
      <c r="B19" s="21" t="s">
        <v>271</v>
      </c>
      <c r="C19" s="19">
        <v>5.0500000000000003E-2</v>
      </c>
      <c r="D19" s="19">
        <v>5.0500000000000003E-2</v>
      </c>
      <c r="E19" s="19">
        <v>5.0500000000000003E-2</v>
      </c>
      <c r="F19" s="19">
        <v>5.0500000000000003E-2</v>
      </c>
      <c r="G19" s="19">
        <v>5.0500000000000003E-2</v>
      </c>
      <c r="H19" s="20">
        <v>5.0500000000000003E-2</v>
      </c>
      <c r="I19" s="19">
        <v>5.0500000000000003E-2</v>
      </c>
      <c r="J19" s="19">
        <v>5.0500000000000003E-2</v>
      </c>
      <c r="K19" s="19">
        <v>5.0500000000000003E-2</v>
      </c>
      <c r="L19" s="19">
        <v>5.0500000000000003E-2</v>
      </c>
      <c r="M19" s="19">
        <v>5.0500000000000003E-2</v>
      </c>
      <c r="N19" s="20">
        <v>5.0500000000000003E-2</v>
      </c>
      <c r="T19" s="20"/>
      <c r="Z19" s="20"/>
      <c r="AF19" s="20"/>
      <c r="AL19" s="20"/>
      <c r="AM19" s="19">
        <v>5.0500000000000003E-2</v>
      </c>
      <c r="AN19" s="19">
        <v>5.0500000000000003E-2</v>
      </c>
      <c r="AO19" s="19">
        <v>5.0500000000000003E-2</v>
      </c>
      <c r="AP19" s="19">
        <v>5.0500000000000003E-2</v>
      </c>
      <c r="AQ19" s="19">
        <v>5.0500000000000003E-2</v>
      </c>
      <c r="AR19" s="20">
        <v>5.0500000000000003E-2</v>
      </c>
      <c r="AX19" s="20"/>
      <c r="BD19" s="20"/>
      <c r="BJ19" s="20"/>
      <c r="BP19" s="20"/>
      <c r="BV19" s="20"/>
      <c r="CB19" s="20"/>
      <c r="CC19" s="19">
        <v>0.3926</v>
      </c>
      <c r="CD19" s="19">
        <v>0.3926</v>
      </c>
      <c r="CE19" s="19">
        <v>0.3926</v>
      </c>
      <c r="CG19" s="19">
        <v>0.3926</v>
      </c>
      <c r="CH19" s="20">
        <v>0.3926</v>
      </c>
      <c r="CN19" s="20"/>
      <c r="CT19" s="20"/>
      <c r="CZ19" s="20"/>
      <c r="DF19" s="20"/>
      <c r="DL19" s="20"/>
      <c r="DR19" s="20"/>
      <c r="DX19" s="20"/>
      <c r="ED19" s="20"/>
      <c r="EF19" s="19">
        <v>0.2787</v>
      </c>
      <c r="EG19" s="19">
        <v>0.2787</v>
      </c>
      <c r="EI19" s="19">
        <v>0.2787</v>
      </c>
      <c r="EJ19" s="20">
        <v>0.2787</v>
      </c>
      <c r="EL19" s="19">
        <v>0.2787</v>
      </c>
      <c r="EM19" s="19">
        <v>0.2787</v>
      </c>
      <c r="EO19" s="19">
        <v>0.2787</v>
      </c>
      <c r="EP19" s="20">
        <v>0.2787</v>
      </c>
      <c r="EQ19" s="19">
        <v>6.8000000000000005E-2</v>
      </c>
      <c r="ER19" s="19">
        <v>6.8000000000000005E-2</v>
      </c>
      <c r="ES19" s="19">
        <v>6.8000000000000005E-2</v>
      </c>
      <c r="ET19" s="19">
        <v>3.9E-2</v>
      </c>
      <c r="EU19" s="19">
        <v>6.8000000000000005E-2</v>
      </c>
      <c r="EV19" s="20">
        <v>6.8000000000000005E-2</v>
      </c>
      <c r="FB19" s="20"/>
      <c r="FH19" s="20"/>
      <c r="FN19" s="20"/>
      <c r="FP19" s="19">
        <v>0.1</v>
      </c>
      <c r="FR19" s="19">
        <v>0.1</v>
      </c>
      <c r="FT19" s="20"/>
      <c r="FU19" s="19">
        <v>0.1</v>
      </c>
      <c r="FZ19" s="20">
        <v>0.1</v>
      </c>
      <c r="GF19" s="20"/>
      <c r="GL19" s="20"/>
      <c r="GR19" s="20"/>
      <c r="GX19" s="20"/>
      <c r="HD19" s="20"/>
      <c r="HJ19" s="20"/>
      <c r="HK19" s="19">
        <v>0.12559999999999999</v>
      </c>
      <c r="HL19" s="19">
        <v>0.12559999999999999</v>
      </c>
      <c r="HM19" s="19">
        <v>0.12559999999999999</v>
      </c>
      <c r="HN19" s="19">
        <v>0.12559999999999999</v>
      </c>
      <c r="HO19" s="19">
        <v>0.12559999999999999</v>
      </c>
      <c r="HP19" s="19">
        <v>0.12559999999999999</v>
      </c>
      <c r="HV19" s="20"/>
      <c r="IB19" s="20"/>
      <c r="IH19" s="20"/>
      <c r="IN19" s="20"/>
      <c r="IP19" s="19">
        <v>0.1804</v>
      </c>
      <c r="IQ19" s="19">
        <v>0.1804</v>
      </c>
      <c r="IT19" s="20"/>
      <c r="IZ19" s="20"/>
      <c r="JF19" s="20"/>
      <c r="JL19" s="20"/>
      <c r="JR19" s="20"/>
      <c r="JS19" s="19">
        <f>5.64%*5</f>
        <v>0.28199999999999997</v>
      </c>
      <c r="JT19" s="19">
        <f t="shared" ref="JT19:JX19" si="7">5.64%*5</f>
        <v>0.28199999999999997</v>
      </c>
      <c r="JU19" s="19">
        <f t="shared" si="7"/>
        <v>0.28199999999999997</v>
      </c>
      <c r="JV19" s="19">
        <f t="shared" si="7"/>
        <v>0.28199999999999997</v>
      </c>
      <c r="JW19" s="19">
        <f t="shared" si="7"/>
        <v>0.28199999999999997</v>
      </c>
      <c r="JX19" s="20">
        <f t="shared" si="7"/>
        <v>0.28199999999999997</v>
      </c>
      <c r="KD19" s="20"/>
      <c r="KE19" s="19">
        <v>0.12</v>
      </c>
      <c r="KF19" s="19">
        <v>0.12</v>
      </c>
      <c r="KG19" s="19">
        <v>0.12</v>
      </c>
      <c r="KH19" s="19">
        <v>0.12</v>
      </c>
      <c r="KI19" s="19">
        <v>0.2</v>
      </c>
      <c r="KJ19" s="20">
        <v>0.2</v>
      </c>
      <c r="KK19" s="19">
        <v>0.12</v>
      </c>
      <c r="KL19" s="19">
        <v>0.2</v>
      </c>
      <c r="KM19" s="19">
        <v>0.2</v>
      </c>
      <c r="KN19" s="19">
        <v>0.12</v>
      </c>
      <c r="KO19" s="19">
        <v>0.12</v>
      </c>
      <c r="KP19" s="20">
        <v>0.12</v>
      </c>
      <c r="KV19" s="20"/>
      <c r="LB19" s="20"/>
      <c r="LC19" s="19">
        <f>12.12%</f>
        <v>0.12119999999999999</v>
      </c>
      <c r="LD19" s="19">
        <f>12.12%+15.12%</f>
        <v>0.27239999999999998</v>
      </c>
      <c r="LE19" s="19">
        <f>12.12%+15.12%</f>
        <v>0.27239999999999998</v>
      </c>
      <c r="LF19" s="19">
        <f>12.12%</f>
        <v>0.12119999999999999</v>
      </c>
      <c r="LG19" s="19">
        <f>12.12%+15.12%</f>
        <v>0.27239999999999998</v>
      </c>
      <c r="LH19" s="20">
        <v>0.27239999999999998</v>
      </c>
      <c r="LN19" s="20"/>
      <c r="LT19" s="20"/>
      <c r="LZ19" s="20"/>
      <c r="MF19" s="20"/>
    </row>
    <row r="20" spans="1:344" s="19" customFormat="1" x14ac:dyDescent="0.45">
      <c r="A20" s="272" t="s">
        <v>272</v>
      </c>
      <c r="B20" s="21" t="s">
        <v>273</v>
      </c>
      <c r="H20" s="20"/>
      <c r="N20" s="20"/>
      <c r="T20" s="20"/>
      <c r="Z20" s="20"/>
      <c r="AF20" s="20"/>
      <c r="AL20" s="20"/>
      <c r="AR20" s="20"/>
      <c r="AS20" s="19">
        <v>0.20050000000000001</v>
      </c>
      <c r="AT20" s="19">
        <v>0.20050000000000001</v>
      </c>
      <c r="AU20" s="19">
        <v>0.20050000000000001</v>
      </c>
      <c r="AV20" s="19">
        <v>0.20050000000000001</v>
      </c>
      <c r="AW20" s="19">
        <v>0.20050000000000001</v>
      </c>
      <c r="AX20" s="20">
        <v>0.20050000000000001</v>
      </c>
      <c r="BD20" s="20"/>
      <c r="BE20" s="19">
        <v>0.20050000000000001</v>
      </c>
      <c r="BF20" s="19">
        <v>0.20050000000000001</v>
      </c>
      <c r="BG20" s="19">
        <v>0.20050000000000001</v>
      </c>
      <c r="BH20" s="19">
        <v>0.20050000000000001</v>
      </c>
      <c r="BI20" s="19">
        <v>0.20050000000000001</v>
      </c>
      <c r="BJ20" s="20">
        <v>0.20050000000000001</v>
      </c>
      <c r="BP20" s="20"/>
      <c r="BV20" s="20"/>
      <c r="BW20" s="19">
        <v>0.31900000000000001</v>
      </c>
      <c r="BX20" s="19">
        <v>0.31900000000000001</v>
      </c>
      <c r="CA20" s="19">
        <v>0.31900000000000001</v>
      </c>
      <c r="CB20" s="20"/>
      <c r="CH20" s="20"/>
      <c r="CN20" s="20"/>
      <c r="CT20" s="20"/>
      <c r="CZ20" s="20"/>
      <c r="DF20" s="20"/>
      <c r="DL20" s="20"/>
      <c r="DR20" s="20"/>
      <c r="DX20" s="20"/>
      <c r="ED20" s="20"/>
      <c r="EJ20" s="20"/>
      <c r="EP20" s="20"/>
      <c r="EV20" s="20"/>
      <c r="EW20" s="19">
        <v>0.1008</v>
      </c>
      <c r="EX20" s="19">
        <v>0.1008</v>
      </c>
      <c r="EY20" s="19">
        <v>0.1008</v>
      </c>
      <c r="EZ20" s="19">
        <v>0.1008</v>
      </c>
      <c r="FA20" s="19">
        <v>0.1008</v>
      </c>
      <c r="FB20" s="20">
        <v>0.1008</v>
      </c>
      <c r="FH20" s="20"/>
      <c r="FI20" s="19">
        <f>2.62%*5+21.32%</f>
        <v>0.34420000000000001</v>
      </c>
      <c r="FJ20" s="19">
        <f>2.62%*5+21.32%</f>
        <v>0.34420000000000001</v>
      </c>
      <c r="FK20" s="19">
        <f>2.62%*5+21.32%</f>
        <v>0.34420000000000001</v>
      </c>
      <c r="FL20" s="19">
        <f>2.62%*5</f>
        <v>0.13100000000000001</v>
      </c>
      <c r="FM20" s="19">
        <f>2.62%*5+21.32%</f>
        <v>0.34420000000000001</v>
      </c>
      <c r="FN20" s="20">
        <v>0.34420000000000001</v>
      </c>
      <c r="FT20" s="20"/>
      <c r="FZ20" s="20"/>
      <c r="GF20" s="20"/>
      <c r="GL20" s="20"/>
      <c r="GR20" s="20"/>
      <c r="GX20" s="20"/>
      <c r="HD20" s="20"/>
      <c r="HJ20" s="20"/>
      <c r="HP20" s="20"/>
      <c r="HV20" s="20"/>
      <c r="IB20" s="20"/>
      <c r="IH20" s="20"/>
      <c r="IJ20" s="19">
        <v>4.2099999999999999E-2</v>
      </c>
      <c r="IK20" s="19">
        <v>4.2099999999999999E-2</v>
      </c>
      <c r="IN20" s="20"/>
      <c r="IT20" s="20"/>
      <c r="IZ20" s="20"/>
      <c r="JF20" s="20"/>
      <c r="JL20" s="20"/>
      <c r="JR20" s="20"/>
      <c r="JX20" s="20"/>
      <c r="KD20" s="20"/>
      <c r="KJ20" s="20"/>
      <c r="KP20" s="20"/>
      <c r="KV20" s="217"/>
      <c r="LB20" s="20"/>
      <c r="LH20" s="20"/>
      <c r="LN20" s="20"/>
      <c r="LT20" s="20"/>
      <c r="LU20" s="19">
        <v>0.19939999999999999</v>
      </c>
      <c r="LV20" s="19">
        <v>0.19939999999999999</v>
      </c>
      <c r="LW20" s="19">
        <v>0.19939999999999999</v>
      </c>
      <c r="LZ20" s="20"/>
      <c r="MA20" s="19">
        <v>0.19939999999999999</v>
      </c>
      <c r="MB20" s="19">
        <v>0.19939999999999999</v>
      </c>
      <c r="MC20" s="19">
        <v>0.19939999999999999</v>
      </c>
      <c r="ME20" s="19">
        <v>0.19939999999999999</v>
      </c>
      <c r="MF20" s="20">
        <v>0.19939999999999999</v>
      </c>
    </row>
    <row r="21" spans="1:344" x14ac:dyDescent="0.45">
      <c r="A21" s="272"/>
      <c r="B21" s="17" t="s">
        <v>274</v>
      </c>
      <c r="AG21" s="14">
        <v>0.1464</v>
      </c>
      <c r="AH21" s="14">
        <v>0.1464</v>
      </c>
      <c r="AI21" s="14">
        <v>0.1464</v>
      </c>
      <c r="AJ21" s="14">
        <v>0.1464</v>
      </c>
      <c r="AK21" s="14">
        <v>0.1464</v>
      </c>
      <c r="AL21" s="15">
        <v>0.1464</v>
      </c>
      <c r="KV21" s="218"/>
    </row>
    <row r="22" spans="1:344" x14ac:dyDescent="0.45">
      <c r="A22" s="272"/>
      <c r="B22" s="17" t="s">
        <v>275</v>
      </c>
      <c r="AS22" s="14">
        <v>0.40039999999999998</v>
      </c>
      <c r="AT22" s="14">
        <v>0.40039999999999998</v>
      </c>
      <c r="AU22" s="14">
        <v>0.40039999999999998</v>
      </c>
      <c r="BI22" s="14">
        <v>0.40039999999999998</v>
      </c>
      <c r="BJ22" s="15">
        <v>0.40039999999999998</v>
      </c>
      <c r="BQ22" s="14">
        <v>0.1246</v>
      </c>
      <c r="BR22" s="14">
        <v>0.1246</v>
      </c>
      <c r="BU22" s="14">
        <v>0.1246</v>
      </c>
      <c r="BW22" s="14">
        <v>0.3765</v>
      </c>
      <c r="BX22" s="14">
        <v>0.3765</v>
      </c>
      <c r="CA22" s="14">
        <v>0.3765</v>
      </c>
      <c r="EW22" s="14">
        <v>5.2400000000000002E-2</v>
      </c>
      <c r="EX22" s="14">
        <v>5.2400000000000002E-2</v>
      </c>
      <c r="EY22" s="14">
        <v>5.2400000000000002E-2</v>
      </c>
      <c r="EZ22" s="14">
        <v>5.2400000000000002E-2</v>
      </c>
      <c r="FA22" s="14">
        <v>5.2400000000000002E-2</v>
      </c>
      <c r="FB22" s="15">
        <v>5.2400000000000002E-2</v>
      </c>
      <c r="FI22" s="14">
        <v>0.34639999999999999</v>
      </c>
      <c r="FJ22" s="14">
        <v>0.34639999999999999</v>
      </c>
      <c r="FK22" s="14">
        <v>0.34639999999999999</v>
      </c>
      <c r="FM22" s="14">
        <v>0.34639999999999999</v>
      </c>
      <c r="FN22" s="15">
        <v>0.34639999999999999</v>
      </c>
      <c r="IJ22" s="14">
        <v>0.13220000000000001</v>
      </c>
      <c r="IK22" s="14">
        <v>0.13220000000000001</v>
      </c>
      <c r="JA22" s="14">
        <v>0.56230000000000002</v>
      </c>
      <c r="JB22" s="14">
        <f>56.23%+32.99%</f>
        <v>0.8922000000000001</v>
      </c>
      <c r="JC22" s="14">
        <f>56.23%+32.99%</f>
        <v>0.8922000000000001</v>
      </c>
      <c r="JE22" s="14">
        <f>56.23%+32.99%</f>
        <v>0.8922000000000001</v>
      </c>
      <c r="JF22" s="15">
        <v>0.8922000000000001</v>
      </c>
      <c r="KV22" s="218"/>
      <c r="LU22" s="14">
        <v>0.45050000000000001</v>
      </c>
      <c r="LV22" s="14">
        <v>0.45050000000000001</v>
      </c>
      <c r="LW22" s="14">
        <v>0.45050000000000001</v>
      </c>
      <c r="LY22" s="14">
        <v>0.45050000000000001</v>
      </c>
      <c r="LZ22" s="15">
        <v>0.45050000000000001</v>
      </c>
      <c r="MA22" s="14">
        <v>0.45050000000000001</v>
      </c>
      <c r="MB22" s="14">
        <v>0.45050000000000001</v>
      </c>
      <c r="MC22" s="14">
        <v>0.45050000000000001</v>
      </c>
      <c r="ME22" s="14">
        <v>0.45050000000000001</v>
      </c>
      <c r="MF22" s="15">
        <v>0.45050000000000001</v>
      </c>
    </row>
    <row r="23" spans="1:344" x14ac:dyDescent="0.45">
      <c r="A23" s="272"/>
      <c r="B23" s="17" t="s">
        <v>276</v>
      </c>
      <c r="KV23" s="218"/>
    </row>
    <row r="24" spans="1:344" s="19" customFormat="1" x14ac:dyDescent="0.45">
      <c r="A24" s="280" t="s">
        <v>372</v>
      </c>
      <c r="B24" s="21" t="s">
        <v>278</v>
      </c>
      <c r="H24" s="20"/>
      <c r="N24" s="20"/>
      <c r="T24" s="20"/>
      <c r="Z24" s="20"/>
      <c r="AF24" s="20"/>
      <c r="AL24" s="20"/>
      <c r="AR24" s="20"/>
      <c r="AX24" s="20"/>
      <c r="BD24" s="20"/>
      <c r="BJ24" s="20"/>
      <c r="BP24" s="20"/>
      <c r="BV24" s="20"/>
      <c r="CB24" s="20"/>
      <c r="CH24" s="20"/>
      <c r="CN24" s="20"/>
      <c r="CT24" s="20"/>
      <c r="CZ24" s="20"/>
      <c r="DF24" s="20"/>
      <c r="DG24" s="19">
        <v>0.4007</v>
      </c>
      <c r="DH24" s="19">
        <v>0.4007</v>
      </c>
      <c r="DI24" s="19">
        <v>0.4007</v>
      </c>
      <c r="DJ24" s="19">
        <v>0.4007</v>
      </c>
      <c r="DK24" s="19">
        <v>0.4007</v>
      </c>
      <c r="DL24" s="20">
        <v>0.4007</v>
      </c>
      <c r="DM24" s="19">
        <f>85.17%+40.07%</f>
        <v>1.2524</v>
      </c>
      <c r="DN24" s="19">
        <f>85.17%+40.07%</f>
        <v>1.2524</v>
      </c>
      <c r="DO24" s="19">
        <f>85.17%+40.07%</f>
        <v>1.2524</v>
      </c>
      <c r="DP24" s="19">
        <v>0.4007</v>
      </c>
      <c r="DQ24" s="19">
        <f>85.17%+40.07%</f>
        <v>1.2524</v>
      </c>
      <c r="DR24" s="20">
        <v>1.2524</v>
      </c>
      <c r="DX24" s="20"/>
      <c r="DY24" s="19">
        <f>85.17%+40.07%</f>
        <v>1.2524</v>
      </c>
      <c r="DZ24" s="19">
        <f>85.17%+40.07%</f>
        <v>1.2524</v>
      </c>
      <c r="EA24" s="19">
        <f>85.17%+40.07%</f>
        <v>1.2524</v>
      </c>
      <c r="EB24" s="19">
        <v>0.4007</v>
      </c>
      <c r="EC24" s="19">
        <f>85.17%+40.07%</f>
        <v>1.2524</v>
      </c>
      <c r="ED24" s="20">
        <v>1.2524</v>
      </c>
      <c r="EJ24" s="20"/>
      <c r="EP24" s="20"/>
      <c r="EV24" s="20"/>
      <c r="FB24" s="20"/>
      <c r="FH24" s="20"/>
      <c r="FN24" s="20"/>
      <c r="FT24" s="20"/>
      <c r="FZ24" s="20"/>
      <c r="GF24" s="20"/>
      <c r="GH24" s="19">
        <v>0.16259999999999999</v>
      </c>
      <c r="GI24" s="19">
        <v>0.16259999999999999</v>
      </c>
      <c r="GK24" s="19">
        <v>0.16259999999999999</v>
      </c>
      <c r="GL24" s="20">
        <v>0.16259999999999999</v>
      </c>
      <c r="GN24" s="19">
        <v>0.16259999999999999</v>
      </c>
      <c r="GO24" s="19">
        <v>0.16259999999999999</v>
      </c>
      <c r="GQ24" s="19">
        <v>0.16259999999999999</v>
      </c>
      <c r="GR24" s="20">
        <v>0.16259999999999999</v>
      </c>
      <c r="GX24" s="20"/>
      <c r="HD24" s="20"/>
      <c r="HJ24" s="20"/>
      <c r="HP24" s="20"/>
      <c r="HV24" s="20"/>
      <c r="IB24" s="20"/>
      <c r="IH24" s="20"/>
      <c r="IN24" s="20"/>
      <c r="IT24" s="20"/>
      <c r="IZ24" s="20"/>
      <c r="JF24" s="20"/>
      <c r="JL24" s="20"/>
      <c r="JR24" s="20"/>
      <c r="JX24" s="20"/>
      <c r="KD24" s="20"/>
      <c r="KJ24" s="20"/>
      <c r="KP24" s="20"/>
      <c r="KQ24" s="19">
        <v>0.2515</v>
      </c>
      <c r="KR24" s="19">
        <v>0.2515</v>
      </c>
      <c r="KS24" s="19">
        <v>0.2515</v>
      </c>
      <c r="KT24" s="19">
        <v>0.2515</v>
      </c>
      <c r="KU24" s="19">
        <v>0.2515</v>
      </c>
      <c r="KV24" s="20">
        <v>0.2515</v>
      </c>
      <c r="LB24" s="20"/>
      <c r="LH24" s="20"/>
      <c r="LN24" s="20"/>
      <c r="LT24" s="20"/>
      <c r="LZ24" s="20"/>
      <c r="MF24" s="20"/>
    </row>
    <row r="25" spans="1:344" x14ac:dyDescent="0.45">
      <c r="A25" s="272"/>
      <c r="B25" s="17" t="s">
        <v>279</v>
      </c>
    </row>
    <row r="26" spans="1:344" s="19" customFormat="1" x14ac:dyDescent="0.45">
      <c r="A26" s="272" t="s">
        <v>280</v>
      </c>
      <c r="B26" s="21" t="s">
        <v>281</v>
      </c>
      <c r="H26" s="20"/>
      <c r="N26" s="20"/>
      <c r="T26" s="20"/>
      <c r="Z26" s="20"/>
      <c r="AF26" s="20"/>
      <c r="AL26" s="20"/>
      <c r="AR26" s="20"/>
      <c r="AW26" s="19">
        <f>2500/1830</f>
        <v>1.3661202185792349</v>
      </c>
      <c r="AX26" s="20"/>
      <c r="BD26" s="20"/>
      <c r="BJ26" s="20"/>
      <c r="BP26" s="20"/>
      <c r="BV26" s="20"/>
      <c r="CB26" s="20"/>
      <c r="CH26" s="20"/>
      <c r="CN26" s="20"/>
      <c r="CT26" s="20"/>
      <c r="CZ26" s="20"/>
      <c r="DF26" s="20"/>
      <c r="DL26" s="20"/>
      <c r="DR26" s="20"/>
      <c r="DX26" s="20"/>
      <c r="ED26" s="20"/>
      <c r="EE26" s="19">
        <v>0.41810000000000003</v>
      </c>
      <c r="EF26" s="19">
        <v>0.41810000000000003</v>
      </c>
      <c r="EG26" s="19">
        <v>0.41810000000000003</v>
      </c>
      <c r="EI26" s="19">
        <v>0.41810000000000003</v>
      </c>
      <c r="EJ26" s="20">
        <v>0.41810000000000003</v>
      </c>
      <c r="EK26" s="19">
        <v>0.41810000000000003</v>
      </c>
      <c r="EL26" s="19">
        <v>0.41810000000000003</v>
      </c>
      <c r="EM26" s="19">
        <v>0.41810000000000003</v>
      </c>
      <c r="EO26" s="19">
        <v>0.41810000000000003</v>
      </c>
      <c r="EP26" s="20">
        <v>0.41810000000000003</v>
      </c>
      <c r="EV26" s="20"/>
      <c r="FB26" s="20"/>
      <c r="FH26" s="20"/>
      <c r="FN26" s="20"/>
      <c r="FT26" s="20"/>
      <c r="FZ26" s="20"/>
      <c r="GF26" s="20"/>
      <c r="GL26" s="20"/>
      <c r="GR26" s="20"/>
      <c r="GX26" s="20"/>
      <c r="HD26" s="20"/>
      <c r="HJ26" s="20"/>
      <c r="HP26" s="20"/>
      <c r="HV26" s="20"/>
      <c r="IB26" s="20"/>
      <c r="IH26" s="20"/>
      <c r="IN26" s="20"/>
      <c r="IT26" s="20"/>
      <c r="IZ26" s="20"/>
      <c r="JF26" s="20"/>
      <c r="JL26" s="20"/>
      <c r="JR26" s="20"/>
      <c r="JX26" s="20"/>
      <c r="KD26" s="20"/>
      <c r="KJ26" s="20"/>
      <c r="KP26" s="20"/>
      <c r="KV26" s="20"/>
      <c r="LB26" s="20"/>
      <c r="LH26" s="20"/>
      <c r="LN26" s="20"/>
      <c r="LT26" s="20"/>
      <c r="LZ26" s="20"/>
      <c r="MA26" s="19">
        <v>0.25</v>
      </c>
      <c r="MB26" s="19">
        <v>0.25</v>
      </c>
      <c r="MC26" s="19">
        <v>0.25</v>
      </c>
      <c r="MD26" s="19">
        <v>0.25</v>
      </c>
      <c r="ME26" s="19">
        <v>0.25</v>
      </c>
      <c r="MF26" s="20">
        <v>0.25</v>
      </c>
    </row>
    <row r="27" spans="1:344" x14ac:dyDescent="0.45">
      <c r="A27" s="272"/>
      <c r="B27" s="17" t="s">
        <v>282</v>
      </c>
      <c r="JM27" s="122"/>
      <c r="JN27" s="122"/>
      <c r="JO27" s="122"/>
      <c r="JP27" s="122"/>
      <c r="JQ27" s="122"/>
      <c r="JR27" s="121"/>
      <c r="KQ27" s="122"/>
      <c r="KR27" s="122"/>
      <c r="KS27" s="122"/>
      <c r="KT27" s="122"/>
      <c r="KU27" s="122"/>
      <c r="KV27" s="121"/>
    </row>
    <row r="28" spans="1:344" x14ac:dyDescent="0.45">
      <c r="A28" s="272"/>
      <c r="B28" s="17" t="s">
        <v>227</v>
      </c>
    </row>
    <row r="29" spans="1:344" s="19" customFormat="1" x14ac:dyDescent="0.45">
      <c r="A29" s="272" t="s">
        <v>283</v>
      </c>
      <c r="B29" s="21" t="s">
        <v>284</v>
      </c>
      <c r="H29" s="20"/>
      <c r="N29" s="20"/>
      <c r="T29" s="20"/>
      <c r="Z29" s="20"/>
      <c r="AF29" s="20"/>
      <c r="AL29" s="20"/>
      <c r="AR29" s="20"/>
      <c r="AX29" s="20"/>
      <c r="BD29" s="20"/>
      <c r="BJ29" s="20"/>
      <c r="BP29" s="20"/>
      <c r="BV29" s="20"/>
      <c r="CB29" s="20"/>
      <c r="CH29" s="20"/>
      <c r="CN29" s="20"/>
      <c r="CT29" s="20"/>
      <c r="CZ29" s="20"/>
      <c r="DF29" s="20"/>
      <c r="DL29" s="20"/>
      <c r="DR29" s="20"/>
      <c r="DX29" s="20"/>
      <c r="ED29" s="20"/>
      <c r="EJ29" s="20"/>
      <c r="EP29" s="20"/>
      <c r="EV29" s="20"/>
      <c r="FB29" s="20"/>
      <c r="FH29" s="20"/>
      <c r="FN29" s="20"/>
      <c r="FT29" s="20"/>
      <c r="FZ29" s="20"/>
      <c r="GF29" s="20"/>
      <c r="GL29" s="20"/>
      <c r="GR29" s="20"/>
      <c r="GX29" s="20"/>
      <c r="GZ29" s="19">
        <v>0.40899999999999997</v>
      </c>
      <c r="HA29" s="19">
        <v>0.40899999999999997</v>
      </c>
      <c r="HC29" s="19">
        <v>0.40899999999999997</v>
      </c>
      <c r="HD29" s="20">
        <v>0.40899999999999997</v>
      </c>
      <c r="HF29" s="19">
        <v>0.40899999999999997</v>
      </c>
      <c r="HG29" s="19">
        <v>0.40899999999999997</v>
      </c>
      <c r="HJ29" s="20"/>
      <c r="HP29" s="20"/>
      <c r="HV29" s="20"/>
      <c r="IB29" s="20"/>
      <c r="IH29" s="20"/>
      <c r="IN29" s="20"/>
      <c r="IT29" s="20"/>
      <c r="IZ29" s="20"/>
      <c r="JF29" s="20"/>
      <c r="JL29" s="20"/>
      <c r="JR29" s="20"/>
      <c r="JX29" s="20"/>
      <c r="KD29" s="20"/>
      <c r="KJ29" s="20"/>
      <c r="KP29" s="20"/>
      <c r="KV29" s="20"/>
      <c r="LB29" s="20"/>
      <c r="LH29" s="20"/>
      <c r="LI29" s="19">
        <v>0.35</v>
      </c>
      <c r="LJ29" s="19">
        <v>0.35</v>
      </c>
      <c r="LK29" s="19">
        <v>0.35</v>
      </c>
      <c r="LL29" s="19">
        <v>0.35</v>
      </c>
      <c r="LM29" s="19">
        <v>0.35</v>
      </c>
      <c r="LN29" s="20">
        <v>0.35</v>
      </c>
      <c r="LT29" s="20"/>
      <c r="LZ29" s="20"/>
      <c r="MF29" s="20"/>
    </row>
    <row r="30" spans="1:344" s="14" customFormat="1" x14ac:dyDescent="0.45">
      <c r="A30" s="272"/>
      <c r="B30" s="17" t="s">
        <v>285</v>
      </c>
      <c r="H30" s="15"/>
      <c r="N30" s="15"/>
      <c r="T30" s="15"/>
      <c r="Z30" s="15"/>
      <c r="AF30" s="15"/>
      <c r="AL30" s="15"/>
      <c r="AR30" s="15"/>
      <c r="AX30" s="15"/>
      <c r="BD30" s="15"/>
      <c r="BJ30" s="15"/>
      <c r="BP30" s="15"/>
      <c r="BV30" s="15"/>
      <c r="CB30" s="15"/>
      <c r="CH30" s="15"/>
      <c r="CN30" s="15"/>
      <c r="CT30" s="15"/>
      <c r="CZ30" s="15"/>
      <c r="DF30" s="15"/>
      <c r="DL30" s="15"/>
      <c r="DR30" s="15"/>
      <c r="DX30" s="15"/>
      <c r="ED30" s="15"/>
      <c r="EJ30" s="15"/>
      <c r="EP30" s="15"/>
      <c r="EV30" s="15"/>
      <c r="FB30" s="15"/>
      <c r="FH30" s="15"/>
      <c r="FN30" s="15"/>
      <c r="FT30" s="15"/>
      <c r="FZ30" s="15"/>
      <c r="GF30" s="15"/>
      <c r="GL30" s="15"/>
      <c r="GR30" s="15"/>
      <c r="GX30" s="15"/>
      <c r="HD30" s="15"/>
      <c r="HJ30" s="15"/>
      <c r="HP30" s="15"/>
      <c r="HV30" s="15"/>
      <c r="IB30" s="15"/>
      <c r="IH30" s="15"/>
      <c r="IN30" s="15"/>
      <c r="IT30" s="15"/>
      <c r="IZ30" s="15"/>
      <c r="JF30" s="15"/>
      <c r="JL30" s="15"/>
      <c r="JR30" s="15"/>
      <c r="JX30" s="15"/>
      <c r="KD30" s="15"/>
      <c r="KJ30" s="15"/>
      <c r="KP30" s="15"/>
      <c r="KV30" s="15"/>
      <c r="KW30" s="14">
        <v>0.4622</v>
      </c>
      <c r="KX30" s="14">
        <v>0.4622</v>
      </c>
      <c r="KY30" s="14">
        <v>0.4622</v>
      </c>
      <c r="KZ30" s="14">
        <v>0.4622</v>
      </c>
      <c r="LA30" s="14">
        <v>0.4622</v>
      </c>
      <c r="LB30" s="15">
        <v>0.4622</v>
      </c>
      <c r="LH30" s="15"/>
      <c r="LN30" s="15"/>
      <c r="LT30" s="15"/>
      <c r="LZ30" s="15"/>
      <c r="MF30" s="15"/>
    </row>
    <row r="31" spans="1:344" x14ac:dyDescent="0.45">
      <c r="A31" s="272"/>
      <c r="B31" s="17" t="s">
        <v>286</v>
      </c>
    </row>
    <row r="32" spans="1:344" x14ac:dyDescent="0.45">
      <c r="A32" s="272" t="s">
        <v>287</v>
      </c>
      <c r="B32" s="12" t="s">
        <v>288</v>
      </c>
    </row>
    <row r="33" spans="1:344" x14ac:dyDescent="0.45">
      <c r="A33" s="272"/>
      <c r="B33" s="221" t="s">
        <v>289</v>
      </c>
      <c r="D33" s="14">
        <v>0.33260000000000001</v>
      </c>
      <c r="G33" s="14">
        <v>0.33260000000000001</v>
      </c>
      <c r="J33" s="14">
        <v>0.33260000000000001</v>
      </c>
      <c r="M33" s="14">
        <v>0.33260000000000001</v>
      </c>
    </row>
    <row r="34" spans="1:344" s="123" customFormat="1" x14ac:dyDescent="0.45">
      <c r="A34" s="272"/>
      <c r="B34" s="222" t="s">
        <v>317</v>
      </c>
      <c r="C34" s="122"/>
      <c r="D34" s="122"/>
      <c r="E34" s="122"/>
      <c r="F34" s="122"/>
      <c r="G34" s="122"/>
      <c r="H34" s="121"/>
      <c r="I34" s="122"/>
      <c r="J34" s="122"/>
      <c r="K34" s="122"/>
      <c r="L34" s="122"/>
      <c r="M34" s="122"/>
      <c r="N34" s="121"/>
      <c r="O34" s="122"/>
      <c r="P34" s="122"/>
      <c r="Q34" s="122"/>
      <c r="R34" s="122"/>
      <c r="S34" s="122"/>
      <c r="T34" s="121"/>
      <c r="U34" s="122"/>
      <c r="V34" s="122"/>
      <c r="W34" s="122"/>
      <c r="X34" s="122"/>
      <c r="Y34" s="122"/>
      <c r="Z34" s="121"/>
      <c r="AA34" s="122"/>
      <c r="AB34" s="122"/>
      <c r="AC34" s="122"/>
      <c r="AD34" s="122"/>
      <c r="AE34" s="122"/>
      <c r="AF34" s="121"/>
      <c r="AG34" s="122"/>
      <c r="AH34" s="122"/>
      <c r="AI34" s="122"/>
      <c r="AJ34" s="122"/>
      <c r="AK34" s="122"/>
      <c r="AL34" s="121"/>
      <c r="AM34" s="122"/>
      <c r="AN34" s="122"/>
      <c r="AO34" s="122"/>
      <c r="AP34" s="122"/>
      <c r="AQ34" s="122"/>
      <c r="AR34" s="121"/>
      <c r="AS34" s="122"/>
      <c r="AT34" s="122"/>
      <c r="AU34" s="122"/>
      <c r="AV34" s="122"/>
      <c r="AW34" s="122"/>
      <c r="AX34" s="121"/>
      <c r="AY34" s="122"/>
      <c r="AZ34" s="122"/>
      <c r="BA34" s="122"/>
      <c r="BB34" s="122"/>
      <c r="BC34" s="122"/>
      <c r="BD34" s="121"/>
      <c r="BE34" s="122"/>
      <c r="BF34" s="122"/>
      <c r="BG34" s="122"/>
      <c r="BH34" s="122"/>
      <c r="BI34" s="122"/>
      <c r="BJ34" s="121"/>
      <c r="BK34" s="122"/>
      <c r="BL34" s="122"/>
      <c r="BM34" s="122"/>
      <c r="BN34" s="122"/>
      <c r="BO34" s="122"/>
      <c r="BP34" s="121"/>
      <c r="BQ34" s="122"/>
      <c r="BR34" s="122"/>
      <c r="BS34" s="122"/>
      <c r="BT34" s="122"/>
      <c r="BU34" s="122"/>
      <c r="BV34" s="121"/>
      <c r="BW34" s="122"/>
      <c r="BX34" s="122"/>
      <c r="BY34" s="122"/>
      <c r="BZ34" s="122"/>
      <c r="CA34" s="122"/>
      <c r="CB34" s="121"/>
      <c r="CC34" s="122"/>
      <c r="CD34" s="122"/>
      <c r="CE34" s="122"/>
      <c r="CF34" s="122"/>
      <c r="CG34" s="122"/>
      <c r="CH34" s="121"/>
      <c r="CI34" s="122"/>
      <c r="CJ34" s="122"/>
      <c r="CK34" s="122"/>
      <c r="CL34" s="122"/>
      <c r="CM34" s="122"/>
      <c r="CN34" s="121"/>
      <c r="CO34" s="122"/>
      <c r="CP34" s="122"/>
      <c r="CQ34" s="122"/>
      <c r="CR34" s="122"/>
      <c r="CS34" s="122"/>
      <c r="CT34" s="121"/>
      <c r="CU34" s="122"/>
      <c r="CV34" s="122"/>
      <c r="CW34" s="122"/>
      <c r="CX34" s="122"/>
      <c r="CY34" s="122"/>
      <c r="CZ34" s="121"/>
      <c r="DA34" s="122"/>
      <c r="DB34" s="122"/>
      <c r="DC34" s="122"/>
      <c r="DD34" s="122"/>
      <c r="DE34" s="122"/>
      <c r="DF34" s="121"/>
      <c r="DG34" s="122"/>
      <c r="DH34" s="122"/>
      <c r="DI34" s="122"/>
      <c r="DJ34" s="122"/>
      <c r="DK34" s="122"/>
      <c r="DL34" s="121"/>
      <c r="DM34" s="122"/>
      <c r="DN34" s="122"/>
      <c r="DO34" s="122"/>
      <c r="DP34" s="122"/>
      <c r="DQ34" s="122"/>
      <c r="DR34" s="121"/>
      <c r="DS34" s="122"/>
      <c r="DT34" s="122"/>
      <c r="DU34" s="122"/>
      <c r="DV34" s="122"/>
      <c r="DW34" s="122"/>
      <c r="DX34" s="121"/>
      <c r="DY34" s="122"/>
      <c r="DZ34" s="122"/>
      <c r="EA34" s="122"/>
      <c r="EB34" s="122"/>
      <c r="EC34" s="122"/>
      <c r="ED34" s="121"/>
      <c r="EE34" s="122"/>
      <c r="EF34" s="122"/>
      <c r="EG34" s="122"/>
      <c r="EH34" s="122"/>
      <c r="EI34" s="122"/>
      <c r="EJ34" s="121"/>
      <c r="EK34" s="122"/>
      <c r="EL34" s="122"/>
      <c r="EM34" s="122"/>
      <c r="EN34" s="122"/>
      <c r="EO34" s="122"/>
      <c r="EP34" s="121"/>
      <c r="EQ34" s="122"/>
      <c r="ER34" s="122"/>
      <c r="ES34" s="122"/>
      <c r="ET34" s="122"/>
      <c r="EU34" s="122"/>
      <c r="EV34" s="121"/>
      <c r="EW34" s="122"/>
      <c r="EX34" s="122"/>
      <c r="EY34" s="122"/>
      <c r="EZ34" s="122"/>
      <c r="FA34" s="122"/>
      <c r="FB34" s="121"/>
      <c r="FC34" s="122"/>
      <c r="FD34" s="122"/>
      <c r="FE34" s="122"/>
      <c r="FF34" s="122"/>
      <c r="FG34" s="122"/>
      <c r="FH34" s="121"/>
      <c r="FI34" s="122"/>
      <c r="FJ34" s="122"/>
      <c r="FK34" s="122"/>
      <c r="FL34" s="122"/>
      <c r="FM34" s="122"/>
      <c r="FN34" s="121"/>
      <c r="FO34" s="122"/>
      <c r="FP34" s="122"/>
      <c r="FQ34" s="122"/>
      <c r="FR34" s="122"/>
      <c r="FS34" s="122"/>
      <c r="FT34" s="121"/>
      <c r="FU34" s="122"/>
      <c r="FV34" s="122"/>
      <c r="FW34" s="122"/>
      <c r="FX34" s="122"/>
      <c r="FY34" s="122"/>
      <c r="FZ34" s="121"/>
      <c r="GA34" s="122"/>
      <c r="GB34" s="122"/>
      <c r="GC34" s="122"/>
      <c r="GD34" s="122"/>
      <c r="GE34" s="122"/>
      <c r="GF34" s="121"/>
      <c r="GG34" s="122"/>
      <c r="GH34" s="122"/>
      <c r="GI34" s="122"/>
      <c r="GJ34" s="122"/>
      <c r="GK34" s="122"/>
      <c r="GL34" s="121"/>
      <c r="GM34" s="122"/>
      <c r="GN34" s="122"/>
      <c r="GO34" s="122"/>
      <c r="GP34" s="122"/>
      <c r="GQ34" s="122"/>
      <c r="GR34" s="121"/>
      <c r="GS34" s="122"/>
      <c r="GT34" s="122"/>
      <c r="GU34" s="122"/>
      <c r="GV34" s="122"/>
      <c r="GW34" s="122"/>
      <c r="GX34" s="121"/>
      <c r="GY34" s="122"/>
      <c r="GZ34" s="122"/>
      <c r="HA34" s="122"/>
      <c r="HB34" s="122"/>
      <c r="HC34" s="122"/>
      <c r="HD34" s="121"/>
      <c r="HE34" s="122"/>
      <c r="HF34" s="122"/>
      <c r="HG34" s="122"/>
      <c r="HH34" s="122"/>
      <c r="HI34" s="122"/>
      <c r="HJ34" s="121"/>
      <c r="HK34" s="122"/>
      <c r="HL34" s="122"/>
      <c r="HM34" s="122"/>
      <c r="HN34" s="122"/>
      <c r="HO34" s="122"/>
      <c r="HP34" s="121"/>
      <c r="HQ34" s="122"/>
      <c r="HR34" s="122"/>
      <c r="HS34" s="122"/>
      <c r="HT34" s="122"/>
      <c r="HU34" s="122"/>
      <c r="HV34" s="121"/>
      <c r="HW34" s="122"/>
      <c r="HX34" s="122"/>
      <c r="HY34" s="122"/>
      <c r="HZ34" s="122"/>
      <c r="IA34" s="122"/>
      <c r="IB34" s="121"/>
      <c r="IC34" s="122"/>
      <c r="ID34" s="122"/>
      <c r="IE34" s="122"/>
      <c r="IF34" s="122"/>
      <c r="IG34" s="122"/>
      <c r="IH34" s="121"/>
      <c r="II34" s="122"/>
      <c r="IJ34" s="122"/>
      <c r="IK34" s="122"/>
      <c r="IL34" s="122"/>
      <c r="IM34" s="122"/>
      <c r="IN34" s="121"/>
      <c r="IO34" s="122"/>
      <c r="IP34" s="122"/>
      <c r="IQ34" s="122"/>
      <c r="IR34" s="122"/>
      <c r="IS34" s="122"/>
      <c r="IT34" s="121"/>
      <c r="IU34" s="122"/>
      <c r="IV34" s="122"/>
      <c r="IW34" s="122"/>
      <c r="IX34" s="122"/>
      <c r="IY34" s="122"/>
      <c r="IZ34" s="121"/>
      <c r="JA34" s="122"/>
      <c r="JB34" s="122"/>
      <c r="JC34" s="122"/>
      <c r="JD34" s="122"/>
      <c r="JE34" s="122"/>
      <c r="JF34" s="121"/>
      <c r="JG34" s="122"/>
      <c r="JH34" s="122"/>
      <c r="JI34" s="122"/>
      <c r="JJ34" s="122"/>
      <c r="JK34" s="122"/>
      <c r="JL34" s="121"/>
      <c r="JM34" s="122"/>
      <c r="JN34" s="122"/>
      <c r="JO34" s="122"/>
      <c r="JP34" s="122"/>
      <c r="JQ34" s="122"/>
      <c r="JR34" s="121"/>
      <c r="JS34" s="122"/>
      <c r="JT34" s="122"/>
      <c r="JU34" s="122"/>
      <c r="JV34" s="122"/>
      <c r="JW34" s="122"/>
      <c r="JX34" s="121"/>
      <c r="JY34" s="122"/>
      <c r="JZ34" s="122"/>
      <c r="KA34" s="122"/>
      <c r="KB34" s="122"/>
      <c r="KC34" s="122"/>
      <c r="KD34" s="121"/>
      <c r="KE34" s="122"/>
      <c r="KF34" s="122"/>
      <c r="KG34" s="122"/>
      <c r="KH34" s="122"/>
      <c r="KI34" s="122"/>
      <c r="KJ34" s="121"/>
      <c r="KK34" s="122"/>
      <c r="KL34" s="122"/>
      <c r="KM34" s="122"/>
      <c r="KN34" s="122"/>
      <c r="KO34" s="122"/>
      <c r="KP34" s="121"/>
      <c r="KQ34" s="122"/>
      <c r="KR34" s="122"/>
      <c r="KS34" s="122"/>
      <c r="KT34" s="122"/>
      <c r="KU34" s="122"/>
      <c r="KV34" s="121"/>
      <c r="KW34" s="122"/>
      <c r="KX34" s="122"/>
      <c r="KY34" s="122"/>
      <c r="KZ34" s="122"/>
      <c r="LA34" s="122"/>
      <c r="LB34" s="121"/>
      <c r="LC34" s="122"/>
      <c r="LD34" s="122"/>
      <c r="LE34" s="122"/>
      <c r="LF34" s="122"/>
      <c r="LG34" s="122"/>
      <c r="LH34" s="121"/>
      <c r="LI34" s="122"/>
      <c r="LJ34" s="122"/>
      <c r="LK34" s="122"/>
      <c r="LL34" s="122"/>
      <c r="LM34" s="122"/>
      <c r="LN34" s="121"/>
      <c r="LO34" s="122"/>
      <c r="LP34" s="122"/>
      <c r="LQ34" s="122"/>
      <c r="LR34" s="122"/>
      <c r="LS34" s="122"/>
      <c r="LT34" s="121"/>
      <c r="LU34" s="122"/>
      <c r="LV34" s="122"/>
      <c r="LW34" s="122"/>
      <c r="LX34" s="122"/>
      <c r="LY34" s="122"/>
      <c r="LZ34" s="121"/>
      <c r="MA34" s="122"/>
      <c r="MB34" s="122"/>
      <c r="MC34" s="122"/>
      <c r="MD34" s="122"/>
      <c r="ME34" s="122"/>
      <c r="MF34" s="121"/>
    </row>
    <row r="35" spans="1:344" x14ac:dyDescent="0.45">
      <c r="A35" s="272"/>
      <c r="B35" s="12" t="s">
        <v>291</v>
      </c>
      <c r="BQ35" s="14">
        <v>0.36699999999999999</v>
      </c>
      <c r="BR35" s="14">
        <v>0.36699999999999999</v>
      </c>
      <c r="BU35" s="14">
        <v>0.36699999999999999</v>
      </c>
      <c r="FD35" s="14">
        <v>0.50139999999999996</v>
      </c>
      <c r="FE35" s="14">
        <v>0.50139999999999996</v>
      </c>
      <c r="FG35" s="14">
        <v>0.50139999999999996</v>
      </c>
      <c r="FH35" s="15">
        <v>0.50139999999999996</v>
      </c>
      <c r="LU35" s="14">
        <v>0.4</v>
      </c>
      <c r="LV35" s="14">
        <v>0.4</v>
      </c>
      <c r="LW35" s="14">
        <v>0.4</v>
      </c>
      <c r="LY35" s="14">
        <v>0.4</v>
      </c>
      <c r="LZ35" s="15">
        <v>0.4</v>
      </c>
      <c r="MA35" s="14">
        <v>0.4</v>
      </c>
      <c r="MB35" s="14">
        <v>0.4</v>
      </c>
      <c r="MC35" s="14">
        <v>0.4</v>
      </c>
      <c r="ME35" s="14">
        <v>0.4</v>
      </c>
      <c r="MF35" s="15">
        <v>0.4</v>
      </c>
    </row>
    <row r="36" spans="1:344" x14ac:dyDescent="0.45">
      <c r="A36" s="272"/>
      <c r="B36" s="12" t="s">
        <v>292</v>
      </c>
      <c r="O36" s="14">
        <v>0.44350000000000001</v>
      </c>
      <c r="P36" s="14">
        <v>0.44350000000000001</v>
      </c>
      <c r="Q36" s="14">
        <v>0.44350000000000001</v>
      </c>
      <c r="R36" s="14">
        <v>0.44350000000000001</v>
      </c>
      <c r="S36" s="14">
        <v>0.44350000000000001</v>
      </c>
      <c r="T36" s="15">
        <v>0.44350000000000001</v>
      </c>
      <c r="U36" s="14">
        <v>0.44350000000000001</v>
      </c>
      <c r="V36" s="14">
        <v>0.44350000000000001</v>
      </c>
      <c r="W36" s="14">
        <v>0.44350000000000001</v>
      </c>
      <c r="X36" s="14">
        <v>0.44350000000000001</v>
      </c>
      <c r="Y36" s="14">
        <v>0.44350000000000001</v>
      </c>
      <c r="Z36" s="15">
        <v>0.44350000000000001</v>
      </c>
      <c r="AA36" s="14">
        <v>0.44350000000000001</v>
      </c>
      <c r="AB36" s="14">
        <v>0.44350000000000001</v>
      </c>
      <c r="AC36" s="14">
        <v>0.44350000000000001</v>
      </c>
      <c r="AD36" s="14">
        <v>0.44350000000000001</v>
      </c>
      <c r="AE36" s="14">
        <v>0.44350000000000001</v>
      </c>
      <c r="AF36" s="15">
        <v>0.44350000000000001</v>
      </c>
      <c r="AS36" s="14">
        <v>0.45119999999999999</v>
      </c>
      <c r="AT36" s="14">
        <v>0.45119999999999999</v>
      </c>
      <c r="AU36" s="14">
        <v>0.45119999999999999</v>
      </c>
      <c r="AW36" s="14">
        <v>0.45119999999999999</v>
      </c>
      <c r="AX36" s="15">
        <v>0.45119999999999999</v>
      </c>
      <c r="AY36" s="14">
        <v>0.40039999999999998</v>
      </c>
      <c r="AZ36" s="14">
        <v>0.40039999999999998</v>
      </c>
      <c r="BA36" s="14">
        <v>0.40039999999999998</v>
      </c>
      <c r="BB36" s="14">
        <v>0.40039999999999998</v>
      </c>
      <c r="BC36" s="14">
        <v>0.40039999999999998</v>
      </c>
      <c r="BD36" s="15">
        <v>0.40039999999999998</v>
      </c>
      <c r="BE36" s="14">
        <v>0.45119999999999999</v>
      </c>
      <c r="BF36" s="14">
        <v>0.45119999999999999</v>
      </c>
      <c r="BG36" s="14">
        <v>0.45119999999999999</v>
      </c>
      <c r="BI36" s="14">
        <v>0.45119999999999999</v>
      </c>
      <c r="BJ36" s="15">
        <v>0.45119999999999999</v>
      </c>
      <c r="BK36" s="14">
        <v>0.40039999999999998</v>
      </c>
      <c r="BL36" s="14">
        <v>0.40039999999999998</v>
      </c>
      <c r="BM36" s="14">
        <v>0.40039999999999998</v>
      </c>
      <c r="BN36" s="14">
        <v>0.40039999999999998</v>
      </c>
      <c r="BO36" s="14">
        <v>0.40039999999999998</v>
      </c>
      <c r="BP36" s="15">
        <v>0.40039999999999998</v>
      </c>
      <c r="GT36" s="14">
        <v>0.29120000000000001</v>
      </c>
      <c r="GU36" s="14">
        <v>0.29120000000000001</v>
      </c>
      <c r="GW36" s="14">
        <v>0.29120000000000001</v>
      </c>
      <c r="GX36" s="15">
        <v>0.29120000000000001</v>
      </c>
      <c r="HQ36" s="14">
        <v>0.50819999999999999</v>
      </c>
      <c r="HR36" s="14">
        <v>0.50819999999999999</v>
      </c>
      <c r="HS36" s="14">
        <v>0.50819999999999999</v>
      </c>
      <c r="HU36" s="14">
        <v>0.50819999999999999</v>
      </c>
      <c r="HV36" s="15">
        <v>0.50819999999999999</v>
      </c>
      <c r="HW36" s="14">
        <v>0.50819999999999999</v>
      </c>
      <c r="HX36" s="14">
        <v>0.50819999999999999</v>
      </c>
      <c r="HY36" s="14">
        <v>0.50819999999999999</v>
      </c>
      <c r="KE36" s="14">
        <v>0.44350000000000001</v>
      </c>
      <c r="KF36" s="14">
        <v>0.44350000000000001</v>
      </c>
      <c r="KG36" s="14">
        <v>0.44350000000000001</v>
      </c>
      <c r="KH36" s="14">
        <v>0.44350000000000001</v>
      </c>
      <c r="KI36" s="14">
        <v>0.44350000000000001</v>
      </c>
      <c r="KJ36" s="15">
        <v>0.44350000000000001</v>
      </c>
      <c r="KK36" s="14">
        <v>0.44350000000000001</v>
      </c>
      <c r="KL36" s="14">
        <v>0.44350000000000001</v>
      </c>
      <c r="KM36" s="14">
        <v>0.44350000000000001</v>
      </c>
      <c r="KN36" s="14">
        <v>0.44350000000000001</v>
      </c>
      <c r="KO36" s="14">
        <v>0.44350000000000001</v>
      </c>
      <c r="KP36" s="15">
        <v>0.44350000000000001</v>
      </c>
    </row>
    <row r="37" spans="1:344" x14ac:dyDescent="0.45">
      <c r="A37" s="272"/>
      <c r="B37" s="12" t="s">
        <v>293</v>
      </c>
      <c r="EW37" s="14">
        <v>0.4224</v>
      </c>
      <c r="EX37" s="14">
        <v>0.4224</v>
      </c>
      <c r="EY37" s="14">
        <v>0.4224</v>
      </c>
      <c r="EZ37" s="14">
        <v>0.4224</v>
      </c>
      <c r="FA37" s="14">
        <v>0.4224</v>
      </c>
      <c r="FB37" s="15">
        <v>0.4224</v>
      </c>
    </row>
    <row r="38" spans="1:344" s="123" customFormat="1" x14ac:dyDescent="0.45">
      <c r="A38" s="272"/>
      <c r="B38" s="161" t="s">
        <v>294</v>
      </c>
      <c r="C38" s="122"/>
      <c r="D38" s="122"/>
      <c r="E38" s="122"/>
      <c r="F38" s="122"/>
      <c r="G38" s="122"/>
      <c r="H38" s="121"/>
      <c r="I38" s="122"/>
      <c r="J38" s="122"/>
      <c r="K38" s="122"/>
      <c r="L38" s="122"/>
      <c r="M38" s="122"/>
      <c r="N38" s="121"/>
      <c r="O38" s="122"/>
      <c r="P38" s="122"/>
      <c r="Q38" s="122"/>
      <c r="R38" s="122"/>
      <c r="S38" s="122"/>
      <c r="T38" s="121"/>
      <c r="U38" s="122"/>
      <c r="V38" s="122"/>
      <c r="W38" s="122"/>
      <c r="X38" s="122"/>
      <c r="Y38" s="122"/>
      <c r="Z38" s="121"/>
      <c r="AA38" s="122"/>
      <c r="AB38" s="122"/>
      <c r="AC38" s="122"/>
      <c r="AD38" s="122"/>
      <c r="AE38" s="122"/>
      <c r="AF38" s="121"/>
      <c r="AG38" s="122"/>
      <c r="AH38" s="122"/>
      <c r="AI38" s="122"/>
      <c r="AJ38" s="122"/>
      <c r="AK38" s="122"/>
      <c r="AL38" s="121"/>
      <c r="AM38" s="122"/>
      <c r="AN38" s="122"/>
      <c r="AO38" s="122"/>
      <c r="AP38" s="122"/>
      <c r="AQ38" s="122"/>
      <c r="AR38" s="121"/>
      <c r="AS38" s="122"/>
      <c r="AT38" s="122"/>
      <c r="AU38" s="122"/>
      <c r="AV38" s="122"/>
      <c r="AW38" s="122"/>
      <c r="AX38" s="121"/>
      <c r="AY38" s="122"/>
      <c r="AZ38" s="122"/>
      <c r="BA38" s="122"/>
      <c r="BB38" s="122"/>
      <c r="BC38" s="122"/>
      <c r="BD38" s="121"/>
      <c r="BE38" s="122"/>
      <c r="BF38" s="122"/>
      <c r="BG38" s="122"/>
      <c r="BH38" s="122"/>
      <c r="BI38" s="122"/>
      <c r="BJ38" s="121"/>
      <c r="BK38" s="122"/>
      <c r="BL38" s="122"/>
      <c r="BM38" s="122"/>
      <c r="BN38" s="122"/>
      <c r="BO38" s="122"/>
      <c r="BP38" s="121"/>
      <c r="BQ38" s="122"/>
      <c r="BR38" s="122"/>
      <c r="BS38" s="122"/>
      <c r="BT38" s="122"/>
      <c r="BU38" s="122"/>
      <c r="BV38" s="121"/>
      <c r="BW38" s="122"/>
      <c r="BX38" s="122"/>
      <c r="BY38" s="122"/>
      <c r="BZ38" s="122"/>
      <c r="CA38" s="122"/>
      <c r="CB38" s="121"/>
      <c r="CC38" s="122"/>
      <c r="CD38" s="122"/>
      <c r="CE38" s="122"/>
      <c r="CF38" s="122"/>
      <c r="CG38" s="122"/>
      <c r="CH38" s="121"/>
      <c r="CI38" s="122"/>
      <c r="CJ38" s="122"/>
      <c r="CK38" s="122"/>
      <c r="CL38" s="122"/>
      <c r="CM38" s="122"/>
      <c r="CN38" s="121"/>
      <c r="CO38" s="122"/>
      <c r="CP38" s="122"/>
      <c r="CQ38" s="122"/>
      <c r="CR38" s="122"/>
      <c r="CS38" s="122"/>
      <c r="CT38" s="121"/>
      <c r="CU38" s="122"/>
      <c r="CV38" s="122"/>
      <c r="CW38" s="122"/>
      <c r="CX38" s="122"/>
      <c r="CY38" s="122"/>
      <c r="CZ38" s="121"/>
      <c r="DA38" s="122"/>
      <c r="DB38" s="122"/>
      <c r="DC38" s="122"/>
      <c r="DD38" s="122"/>
      <c r="DE38" s="122"/>
      <c r="DF38" s="121"/>
      <c r="DG38" s="122"/>
      <c r="DH38" s="122"/>
      <c r="DI38" s="122"/>
      <c r="DJ38" s="122"/>
      <c r="DK38" s="122"/>
      <c r="DL38" s="121"/>
      <c r="DM38" s="122"/>
      <c r="DN38" s="122"/>
      <c r="DO38" s="122"/>
      <c r="DP38" s="122"/>
      <c r="DQ38" s="122"/>
      <c r="DR38" s="121"/>
      <c r="DS38" s="122"/>
      <c r="DT38" s="122"/>
      <c r="DU38" s="122"/>
      <c r="DV38" s="122"/>
      <c r="DW38" s="122"/>
      <c r="DX38" s="121"/>
      <c r="DY38" s="122"/>
      <c r="DZ38" s="122"/>
      <c r="EA38" s="122"/>
      <c r="EB38" s="122"/>
      <c r="EC38" s="122"/>
      <c r="ED38" s="121"/>
      <c r="EE38" s="122"/>
      <c r="EF38" s="122"/>
      <c r="EG38" s="122"/>
      <c r="EH38" s="122"/>
      <c r="EI38" s="122"/>
      <c r="EJ38" s="121"/>
      <c r="EK38" s="122"/>
      <c r="EL38" s="122"/>
      <c r="EM38" s="122"/>
      <c r="EN38" s="122"/>
      <c r="EO38" s="122"/>
      <c r="EP38" s="121"/>
      <c r="EQ38" s="122"/>
      <c r="ER38" s="122"/>
      <c r="ES38" s="122"/>
      <c r="ET38" s="122"/>
      <c r="EU38" s="122"/>
      <c r="EV38" s="121"/>
      <c r="EW38" s="122"/>
      <c r="EX38" s="122"/>
      <c r="EY38" s="122"/>
      <c r="EZ38" s="122"/>
      <c r="FA38" s="122"/>
      <c r="FB38" s="121"/>
      <c r="FC38" s="122"/>
      <c r="FD38" s="122"/>
      <c r="FE38" s="122"/>
      <c r="FF38" s="122"/>
      <c r="FG38" s="122"/>
      <c r="FH38" s="121"/>
      <c r="FI38" s="122"/>
      <c r="FJ38" s="122">
        <v>5</v>
      </c>
      <c r="FK38" s="122">
        <v>5</v>
      </c>
      <c r="FL38" s="122"/>
      <c r="FM38" s="122">
        <v>5</v>
      </c>
      <c r="FN38" s="121">
        <v>5</v>
      </c>
      <c r="FO38" s="122"/>
      <c r="FP38" s="122"/>
      <c r="FQ38" s="122"/>
      <c r="FR38" s="122"/>
      <c r="FS38" s="122"/>
      <c r="FT38" s="121"/>
      <c r="FU38" s="122"/>
      <c r="FV38" s="122"/>
      <c r="FW38" s="122"/>
      <c r="FX38" s="122"/>
      <c r="FY38" s="122"/>
      <c r="FZ38" s="121"/>
      <c r="GA38" s="122"/>
      <c r="GB38" s="122"/>
      <c r="GC38" s="122"/>
      <c r="GD38" s="122"/>
      <c r="GE38" s="122"/>
      <c r="GF38" s="121"/>
      <c r="GG38" s="122"/>
      <c r="GH38" s="122"/>
      <c r="GI38" s="122"/>
      <c r="GJ38" s="122"/>
      <c r="GK38" s="122"/>
      <c r="GL38" s="121"/>
      <c r="GM38" s="122"/>
      <c r="GN38" s="122"/>
      <c r="GO38" s="122"/>
      <c r="GP38" s="122"/>
      <c r="GQ38" s="122"/>
      <c r="GR38" s="121"/>
      <c r="GS38" s="122"/>
      <c r="GT38" s="122"/>
      <c r="GU38" s="122"/>
      <c r="GV38" s="122"/>
      <c r="GW38" s="122"/>
      <c r="GX38" s="121"/>
      <c r="GY38" s="122"/>
      <c r="GZ38" s="122"/>
      <c r="HA38" s="122"/>
      <c r="HB38" s="122"/>
      <c r="HC38" s="122"/>
      <c r="HD38" s="121"/>
      <c r="HE38" s="122"/>
      <c r="HF38" s="122"/>
      <c r="HG38" s="122"/>
      <c r="HH38" s="122"/>
      <c r="HI38" s="122"/>
      <c r="HJ38" s="121"/>
      <c r="HK38" s="122"/>
      <c r="HL38" s="122"/>
      <c r="HM38" s="122"/>
      <c r="HN38" s="122"/>
      <c r="HO38" s="122"/>
      <c r="HP38" s="121"/>
      <c r="HQ38" s="122"/>
      <c r="HR38" s="122"/>
      <c r="HS38" s="122"/>
      <c r="HT38" s="122"/>
      <c r="HU38" s="122"/>
      <c r="HV38" s="121"/>
      <c r="HW38" s="122"/>
      <c r="HX38" s="122"/>
      <c r="HY38" s="122"/>
      <c r="HZ38" s="122"/>
      <c r="IA38" s="122"/>
      <c r="IB38" s="121"/>
      <c r="IC38" s="122"/>
      <c r="ID38" s="122"/>
      <c r="IE38" s="122"/>
      <c r="IF38" s="122"/>
      <c r="IG38" s="122"/>
      <c r="IH38" s="121"/>
      <c r="II38" s="122"/>
      <c r="IJ38" s="122"/>
      <c r="IK38" s="122"/>
      <c r="IL38" s="122"/>
      <c r="IM38" s="122"/>
      <c r="IN38" s="121"/>
      <c r="IO38" s="122"/>
      <c r="IP38" s="122"/>
      <c r="IQ38" s="122"/>
      <c r="IR38" s="122"/>
      <c r="IS38" s="122"/>
      <c r="IT38" s="121"/>
      <c r="IU38" s="122"/>
      <c r="IV38" s="122"/>
      <c r="IW38" s="122"/>
      <c r="IX38" s="122"/>
      <c r="IY38" s="122"/>
      <c r="IZ38" s="121"/>
      <c r="JA38" s="122"/>
      <c r="JB38" s="122"/>
      <c r="JC38" s="122"/>
      <c r="JD38" s="122"/>
      <c r="JE38" s="122"/>
      <c r="JF38" s="121"/>
      <c r="JG38" s="122"/>
      <c r="JH38" s="122"/>
      <c r="JI38" s="122"/>
      <c r="JJ38" s="122"/>
      <c r="JK38" s="122"/>
      <c r="JL38" s="121"/>
      <c r="JM38" s="122"/>
      <c r="JN38" s="122"/>
      <c r="JO38" s="122"/>
      <c r="JP38" s="122"/>
      <c r="JQ38" s="122"/>
      <c r="JR38" s="121"/>
      <c r="JS38" s="122"/>
      <c r="JT38" s="122"/>
      <c r="JU38" s="122"/>
      <c r="JV38" s="122"/>
      <c r="JW38" s="122"/>
      <c r="JX38" s="121"/>
      <c r="JY38" s="122"/>
      <c r="JZ38" s="122"/>
      <c r="KA38" s="122"/>
      <c r="KB38" s="122"/>
      <c r="KC38" s="122"/>
      <c r="KD38" s="121"/>
      <c r="KE38" s="122"/>
      <c r="KF38" s="122"/>
      <c r="KG38" s="122"/>
      <c r="KH38" s="122"/>
      <c r="KI38" s="122"/>
      <c r="KJ38" s="121"/>
      <c r="KK38" s="122"/>
      <c r="KL38" s="122"/>
      <c r="KM38" s="122"/>
      <c r="KN38" s="122"/>
      <c r="KO38" s="122"/>
      <c r="KP38" s="121"/>
      <c r="KQ38" s="14"/>
      <c r="KR38" s="14"/>
      <c r="KS38" s="14"/>
      <c r="KT38" s="14"/>
      <c r="KU38" s="14"/>
      <c r="KV38" s="15"/>
      <c r="KW38" s="122"/>
      <c r="KX38" s="122"/>
      <c r="KY38" s="122"/>
      <c r="KZ38" s="122"/>
      <c r="LA38" s="122"/>
      <c r="LB38" s="121"/>
      <c r="LC38" s="122"/>
      <c r="LD38" s="122"/>
      <c r="LE38" s="122"/>
      <c r="LF38" s="122"/>
      <c r="LG38" s="122"/>
      <c r="LH38" s="121"/>
      <c r="LI38" s="122"/>
      <c r="LJ38" s="122"/>
      <c r="LK38" s="122"/>
      <c r="LL38" s="122"/>
      <c r="LM38" s="122"/>
      <c r="LN38" s="121"/>
      <c r="LO38" s="122"/>
      <c r="LP38" s="122"/>
      <c r="LQ38" s="122"/>
      <c r="LR38" s="122"/>
      <c r="LS38" s="122"/>
      <c r="LT38" s="121"/>
      <c r="LU38" s="122"/>
      <c r="LV38" s="122"/>
      <c r="LW38" s="122"/>
      <c r="LX38" s="122"/>
      <c r="LY38" s="122"/>
      <c r="LZ38" s="121"/>
      <c r="MA38" s="122"/>
      <c r="MB38" s="122"/>
      <c r="MC38" s="122"/>
      <c r="MD38" s="122"/>
      <c r="ME38" s="122"/>
      <c r="MF38" s="121"/>
    </row>
    <row r="39" spans="1:344" x14ac:dyDescent="0.45">
      <c r="A39" s="272"/>
      <c r="B39" s="12" t="s">
        <v>295</v>
      </c>
      <c r="AY39" s="14">
        <v>0.1013</v>
      </c>
      <c r="AZ39" s="14">
        <v>0.1013</v>
      </c>
      <c r="BB39" s="14">
        <v>0.1013</v>
      </c>
      <c r="BC39" s="14">
        <v>0.1013</v>
      </c>
      <c r="BK39" s="14">
        <v>0.1013</v>
      </c>
      <c r="BL39" s="14">
        <v>0.1013</v>
      </c>
      <c r="BN39" s="14">
        <v>0.1013</v>
      </c>
      <c r="BO39" s="14">
        <v>0.1013</v>
      </c>
      <c r="CO39" s="14">
        <v>0.152</v>
      </c>
      <c r="CP39" s="14">
        <v>0.152</v>
      </c>
      <c r="CQ39" s="14">
        <v>0.152</v>
      </c>
      <c r="CR39" s="14">
        <v>0.152</v>
      </c>
      <c r="CS39" s="14">
        <v>0.152</v>
      </c>
      <c r="CT39" s="15">
        <v>0.152</v>
      </c>
      <c r="FD39" s="14">
        <v>0.2009</v>
      </c>
      <c r="FE39" s="14">
        <v>0.2009</v>
      </c>
      <c r="FG39" s="14">
        <v>0.2009</v>
      </c>
      <c r="FH39" s="15">
        <v>0.2009</v>
      </c>
      <c r="FJ39" s="14">
        <v>0.20280000000000001</v>
      </c>
      <c r="FK39" s="14">
        <v>0.20280000000000001</v>
      </c>
      <c r="FM39" s="14">
        <v>0.20280000000000001</v>
      </c>
      <c r="FN39" s="15">
        <v>0.20280000000000001</v>
      </c>
      <c r="HR39" s="14">
        <v>0.45300000000000001</v>
      </c>
      <c r="HS39" s="14">
        <v>0.45300000000000001</v>
      </c>
      <c r="HU39" s="14">
        <v>0.435</v>
      </c>
      <c r="HV39" s="15">
        <v>0.435</v>
      </c>
      <c r="HX39" s="14">
        <v>0.45300000000000001</v>
      </c>
      <c r="HY39" s="14">
        <v>0.45300000000000001</v>
      </c>
      <c r="JA39" s="14">
        <v>5.4399999999999997E-2</v>
      </c>
      <c r="JB39" s="14">
        <v>5.4399999999999997E-2</v>
      </c>
      <c r="JC39" s="14">
        <v>5.4399999999999997E-2</v>
      </c>
      <c r="JD39" s="14">
        <v>5.4399999999999997E-2</v>
      </c>
      <c r="JE39" s="14">
        <v>5.4399999999999997E-2</v>
      </c>
      <c r="JF39" s="15">
        <v>5.4399999999999997E-2</v>
      </c>
    </row>
    <row r="40" spans="1:344" x14ac:dyDescent="0.45">
      <c r="A40" s="272"/>
      <c r="B40" s="12" t="s">
        <v>296</v>
      </c>
    </row>
    <row r="41" spans="1:344" x14ac:dyDescent="0.45">
      <c r="B41" t="s">
        <v>318</v>
      </c>
      <c r="EQ41" s="14">
        <v>0.29039999999999999</v>
      </c>
      <c r="ER41" s="14">
        <v>0.29039999999999999</v>
      </c>
      <c r="ES41" s="14">
        <v>0.29039999999999999</v>
      </c>
      <c r="EU41" s="14">
        <v>0.29039999999999999</v>
      </c>
      <c r="EV41" s="15">
        <v>0.29039999999999999</v>
      </c>
    </row>
    <row r="42" spans="1:344" x14ac:dyDescent="0.45">
      <c r="B42" t="s">
        <v>298</v>
      </c>
      <c r="AZ42" s="14">
        <v>0.30959999999999999</v>
      </c>
      <c r="BA42" s="14">
        <v>0.30959999999999999</v>
      </c>
      <c r="BC42" s="14">
        <v>0.30959999999999999</v>
      </c>
      <c r="BD42" s="15">
        <v>0.30959999999999999</v>
      </c>
      <c r="BL42" s="14">
        <v>0.30959999999999999</v>
      </c>
      <c r="BM42" s="14">
        <v>0.30959999999999999</v>
      </c>
      <c r="BO42" s="14">
        <v>0.30959999999999999</v>
      </c>
      <c r="BP42" s="15">
        <v>0.30959999999999999</v>
      </c>
    </row>
    <row r="43" spans="1:344" s="123" customFormat="1" x14ac:dyDescent="0.45">
      <c r="B43" s="161" t="s">
        <v>299</v>
      </c>
      <c r="C43" s="122"/>
      <c r="D43" s="122"/>
      <c r="E43" s="122"/>
      <c r="F43" s="122"/>
      <c r="G43" s="122"/>
      <c r="H43" s="121"/>
      <c r="I43" s="122"/>
      <c r="J43" s="122"/>
      <c r="K43" s="122"/>
      <c r="L43" s="122"/>
      <c r="M43" s="122"/>
      <c r="N43" s="121"/>
      <c r="O43" s="122"/>
      <c r="P43" s="122"/>
      <c r="Q43" s="122"/>
      <c r="R43" s="122"/>
      <c r="S43" s="122"/>
      <c r="T43" s="121"/>
      <c r="U43" s="122"/>
      <c r="V43" s="122"/>
      <c r="W43" s="122"/>
      <c r="X43" s="122"/>
      <c r="Y43" s="122"/>
      <c r="Z43" s="121"/>
      <c r="AA43" s="122"/>
      <c r="AB43" s="122"/>
      <c r="AC43" s="122"/>
      <c r="AD43" s="122"/>
      <c r="AE43" s="122"/>
      <c r="AF43" s="121"/>
      <c r="AG43" s="122"/>
      <c r="AH43" s="122"/>
      <c r="AI43" s="122"/>
      <c r="AJ43" s="122"/>
      <c r="AK43" s="122"/>
      <c r="AL43" s="121"/>
      <c r="AM43" s="122"/>
      <c r="AN43" s="122"/>
      <c r="AO43" s="122"/>
      <c r="AP43" s="122"/>
      <c r="AQ43" s="122"/>
      <c r="AR43" s="121"/>
      <c r="AS43" s="122"/>
      <c r="AT43" s="122"/>
      <c r="AU43" s="122"/>
      <c r="AV43" s="122"/>
      <c r="AW43" s="122"/>
      <c r="AX43" s="121"/>
      <c r="AY43" s="122"/>
      <c r="AZ43" s="122"/>
      <c r="BA43" s="122"/>
      <c r="BB43" s="122"/>
      <c r="BC43" s="122"/>
      <c r="BD43" s="121"/>
      <c r="BE43" s="122"/>
      <c r="BF43" s="122"/>
      <c r="BG43" s="122"/>
      <c r="BH43" s="122"/>
      <c r="BI43" s="122"/>
      <c r="BJ43" s="121"/>
      <c r="BK43" s="122"/>
      <c r="BL43" s="122"/>
      <c r="BM43" s="122"/>
      <c r="BN43" s="122"/>
      <c r="BO43" s="122"/>
      <c r="BP43" s="121"/>
      <c r="BQ43" s="122"/>
      <c r="BR43" s="122"/>
      <c r="BS43" s="122"/>
      <c r="BT43" s="122"/>
      <c r="BU43" s="122"/>
      <c r="BV43" s="121"/>
      <c r="BW43" s="122"/>
      <c r="BX43" s="122"/>
      <c r="BY43" s="122"/>
      <c r="BZ43" s="122"/>
      <c r="CA43" s="122"/>
      <c r="CB43" s="121"/>
      <c r="CC43" s="122"/>
      <c r="CD43" s="122"/>
      <c r="CE43" s="122"/>
      <c r="CF43" s="122"/>
      <c r="CG43" s="122"/>
      <c r="CH43" s="121"/>
      <c r="CI43" s="122"/>
      <c r="CJ43" s="122">
        <v>5</v>
      </c>
      <c r="CK43" s="122">
        <v>5</v>
      </c>
      <c r="CL43" s="122"/>
      <c r="CM43" s="122">
        <v>5</v>
      </c>
      <c r="CN43" s="121">
        <v>5</v>
      </c>
      <c r="CO43" s="122"/>
      <c r="CP43" s="122"/>
      <c r="CQ43" s="122"/>
      <c r="CR43" s="122"/>
      <c r="CS43" s="122"/>
      <c r="CT43" s="121"/>
      <c r="CU43" s="122"/>
      <c r="CV43" s="122"/>
      <c r="CW43" s="122"/>
      <c r="CX43" s="122"/>
      <c r="CY43" s="122"/>
      <c r="CZ43" s="121"/>
      <c r="DA43" s="122"/>
      <c r="DB43" s="122"/>
      <c r="DC43" s="122"/>
      <c r="DD43" s="122"/>
      <c r="DE43" s="122"/>
      <c r="DF43" s="121"/>
      <c r="DG43" s="122"/>
      <c r="DH43" s="122"/>
      <c r="DI43" s="122"/>
      <c r="DJ43" s="122"/>
      <c r="DK43" s="122"/>
      <c r="DL43" s="121"/>
      <c r="DM43" s="122"/>
      <c r="DN43" s="122"/>
      <c r="DO43" s="122"/>
      <c r="DP43" s="122"/>
      <c r="DQ43" s="122"/>
      <c r="DR43" s="121"/>
      <c r="DS43" s="122"/>
      <c r="DT43" s="122"/>
      <c r="DU43" s="122"/>
      <c r="DV43" s="122"/>
      <c r="DW43" s="122"/>
      <c r="DX43" s="121"/>
      <c r="DY43" s="122"/>
      <c r="DZ43" s="122"/>
      <c r="EA43" s="122"/>
      <c r="EB43" s="122"/>
      <c r="EC43" s="122"/>
      <c r="ED43" s="121"/>
      <c r="EE43" s="122"/>
      <c r="EF43" s="122"/>
      <c r="EG43" s="122"/>
      <c r="EH43" s="122"/>
      <c r="EI43" s="122"/>
      <c r="EJ43" s="121"/>
      <c r="EK43" s="122"/>
      <c r="EL43" s="122"/>
      <c r="EM43" s="122"/>
      <c r="EN43" s="122"/>
      <c r="EO43" s="122"/>
      <c r="EP43" s="121"/>
      <c r="EQ43" s="122"/>
      <c r="ER43" s="122"/>
      <c r="ES43" s="122"/>
      <c r="ET43" s="122"/>
      <c r="EU43" s="122"/>
      <c r="EV43" s="121"/>
      <c r="EW43" s="122">
        <v>6</v>
      </c>
      <c r="EX43" s="122">
        <v>6</v>
      </c>
      <c r="EY43" s="122">
        <v>6</v>
      </c>
      <c r="EZ43" s="122">
        <v>6</v>
      </c>
      <c r="FA43" s="122">
        <v>6</v>
      </c>
      <c r="FB43" s="121">
        <v>6</v>
      </c>
      <c r="FC43" s="122"/>
      <c r="FD43" s="122"/>
      <c r="FE43" s="122"/>
      <c r="FF43" s="122"/>
      <c r="FG43" s="122"/>
      <c r="FH43" s="121"/>
      <c r="FI43" s="122"/>
      <c r="FJ43" s="122"/>
      <c r="FK43" s="122"/>
      <c r="FL43" s="122"/>
      <c r="FM43" s="122"/>
      <c r="FN43" s="121"/>
      <c r="FO43" s="122"/>
      <c r="FP43" s="122"/>
      <c r="FQ43" s="122"/>
      <c r="FR43" s="122"/>
      <c r="FS43" s="122"/>
      <c r="FT43" s="121"/>
      <c r="FU43" s="122"/>
      <c r="FV43" s="122"/>
      <c r="FW43" s="122"/>
      <c r="FX43" s="122"/>
      <c r="FY43" s="122"/>
      <c r="FZ43" s="121"/>
      <c r="GA43" s="122"/>
      <c r="GB43" s="122"/>
      <c r="GC43" s="122"/>
      <c r="GD43" s="122"/>
      <c r="GE43" s="122"/>
      <c r="GF43" s="121"/>
      <c r="GG43" s="122"/>
      <c r="GH43" s="122"/>
      <c r="GI43" s="122"/>
      <c r="GJ43" s="122"/>
      <c r="GK43" s="122"/>
      <c r="GL43" s="121"/>
      <c r="GM43" s="122"/>
      <c r="GN43" s="122"/>
      <c r="GO43" s="122"/>
      <c r="GP43" s="122"/>
      <c r="GQ43" s="122"/>
      <c r="GR43" s="121"/>
      <c r="GS43" s="122"/>
      <c r="GT43" s="122"/>
      <c r="GU43" s="122"/>
      <c r="GV43" s="122"/>
      <c r="GW43" s="122"/>
      <c r="GX43" s="121"/>
      <c r="GY43" s="122"/>
      <c r="GZ43" s="122"/>
      <c r="HA43" s="122"/>
      <c r="HB43" s="122"/>
      <c r="HC43" s="122"/>
      <c r="HD43" s="121"/>
      <c r="HE43" s="122"/>
      <c r="HF43" s="122"/>
      <c r="HG43" s="122"/>
      <c r="HH43" s="122"/>
      <c r="HI43" s="122"/>
      <c r="HJ43" s="121"/>
      <c r="HK43" s="122"/>
      <c r="HL43" s="122"/>
      <c r="HM43" s="122"/>
      <c r="HN43" s="122"/>
      <c r="HO43" s="122"/>
      <c r="HP43" s="121"/>
      <c r="HQ43" s="122"/>
      <c r="HR43" s="122"/>
      <c r="HS43" s="122"/>
      <c r="HT43" s="122"/>
      <c r="HU43" s="122"/>
      <c r="HV43" s="121"/>
      <c r="HW43" s="122"/>
      <c r="HX43" s="122"/>
      <c r="HY43" s="122"/>
      <c r="HZ43" s="122"/>
      <c r="IA43" s="122"/>
      <c r="IB43" s="121"/>
      <c r="IC43" s="122"/>
      <c r="ID43" s="122"/>
      <c r="IE43" s="122"/>
      <c r="IF43" s="122"/>
      <c r="IG43" s="122"/>
      <c r="IH43" s="121"/>
      <c r="II43" s="122"/>
      <c r="IJ43" s="122"/>
      <c r="IK43" s="122"/>
      <c r="IL43" s="122"/>
      <c r="IM43" s="122"/>
      <c r="IN43" s="121"/>
      <c r="IO43" s="122"/>
      <c r="IP43" s="122"/>
      <c r="IQ43" s="122"/>
      <c r="IR43" s="122"/>
      <c r="IS43" s="122"/>
      <c r="IT43" s="121"/>
      <c r="IU43" s="122"/>
      <c r="IV43" s="122"/>
      <c r="IW43" s="122"/>
      <c r="IX43" s="122"/>
      <c r="IY43" s="122"/>
      <c r="IZ43" s="121"/>
      <c r="JA43" s="122"/>
      <c r="JB43" s="122"/>
      <c r="JC43" s="122"/>
      <c r="JD43" s="122"/>
      <c r="JE43" s="122"/>
      <c r="JF43" s="121"/>
      <c r="JG43" s="122"/>
      <c r="JH43" s="122"/>
      <c r="JI43" s="122"/>
      <c r="JJ43" s="122"/>
      <c r="JK43" s="122"/>
      <c r="JL43" s="121"/>
      <c r="JM43" s="122"/>
      <c r="JN43" s="122"/>
      <c r="JO43" s="122"/>
      <c r="JP43" s="122"/>
      <c r="JQ43" s="122"/>
      <c r="JR43" s="121"/>
      <c r="JS43" s="122"/>
      <c r="JT43" s="122"/>
      <c r="JU43" s="122"/>
      <c r="JV43" s="122"/>
      <c r="JW43" s="122"/>
      <c r="JX43" s="121"/>
      <c r="JY43" s="122"/>
      <c r="JZ43" s="122"/>
      <c r="KA43" s="122"/>
      <c r="KB43" s="122"/>
      <c r="KC43" s="122"/>
      <c r="KD43" s="121"/>
      <c r="KE43" s="122"/>
      <c r="KF43" s="122"/>
      <c r="KG43" s="122"/>
      <c r="KH43" s="122"/>
      <c r="KI43" s="122"/>
      <c r="KJ43" s="121"/>
      <c r="KK43" s="122"/>
      <c r="KL43" s="122"/>
      <c r="KM43" s="122"/>
      <c r="KN43" s="122"/>
      <c r="KO43" s="122"/>
      <c r="KP43" s="121"/>
      <c r="KQ43" s="14"/>
      <c r="KR43" s="14"/>
      <c r="KS43" s="14"/>
      <c r="KT43" s="14"/>
      <c r="KU43" s="14"/>
      <c r="KV43" s="15"/>
      <c r="KW43" s="122">
        <v>20</v>
      </c>
      <c r="KX43" s="122">
        <v>20</v>
      </c>
      <c r="KY43" s="122">
        <v>20</v>
      </c>
      <c r="KZ43" s="122">
        <v>20</v>
      </c>
      <c r="LA43" s="122">
        <v>20</v>
      </c>
      <c r="LB43" s="121">
        <v>20</v>
      </c>
      <c r="LC43" s="122"/>
      <c r="LD43" s="122"/>
      <c r="LE43" s="122"/>
      <c r="LF43" s="122"/>
      <c r="LG43" s="122"/>
      <c r="LH43" s="121"/>
      <c r="LI43" s="122"/>
      <c r="LJ43" s="122"/>
      <c r="LK43" s="122"/>
      <c r="LL43" s="122"/>
      <c r="LM43" s="122"/>
      <c r="LN43" s="121"/>
      <c r="LO43" s="122"/>
      <c r="LP43" s="122"/>
      <c r="LQ43" s="122"/>
      <c r="LR43" s="122"/>
      <c r="LS43" s="122"/>
      <c r="LT43" s="121"/>
      <c r="LU43" s="122"/>
      <c r="LV43" s="122"/>
      <c r="LW43" s="122"/>
      <c r="LX43" s="122"/>
      <c r="LY43" s="122"/>
      <c r="LZ43" s="121"/>
      <c r="MA43" s="122"/>
      <c r="MB43" s="122"/>
      <c r="MC43" s="122"/>
      <c r="MD43" s="122"/>
      <c r="ME43" s="122"/>
      <c r="MF43" s="121"/>
    </row>
    <row r="44" spans="1:344" s="7" customFormat="1" x14ac:dyDescent="0.45">
      <c r="B44" t="s">
        <v>300</v>
      </c>
      <c r="C44" s="32"/>
      <c r="D44" s="32"/>
      <c r="E44" s="32"/>
      <c r="F44" s="32"/>
      <c r="G44" s="32"/>
      <c r="H44" s="31"/>
      <c r="I44" s="32"/>
      <c r="J44" s="32"/>
      <c r="K44" s="32"/>
      <c r="L44" s="32"/>
      <c r="M44" s="32"/>
      <c r="N44" s="31"/>
      <c r="O44" s="32"/>
      <c r="P44" s="32"/>
      <c r="Q44" s="32"/>
      <c r="R44" s="32"/>
      <c r="S44" s="32"/>
      <c r="T44" s="31"/>
      <c r="U44" s="32"/>
      <c r="V44" s="32"/>
      <c r="W44" s="32"/>
      <c r="X44" s="32"/>
      <c r="Y44" s="32"/>
      <c r="Z44" s="31"/>
      <c r="AA44" s="32"/>
      <c r="AB44" s="32"/>
      <c r="AC44" s="32"/>
      <c r="AD44" s="32"/>
      <c r="AE44" s="32"/>
      <c r="AF44" s="31"/>
      <c r="AG44" s="32"/>
      <c r="AH44" s="32"/>
      <c r="AI44" s="32"/>
      <c r="AJ44" s="32"/>
      <c r="AK44" s="32"/>
      <c r="AL44" s="31"/>
      <c r="AM44" s="32"/>
      <c r="AN44" s="32"/>
      <c r="AO44" s="32"/>
      <c r="AP44" s="32"/>
      <c r="AQ44" s="32"/>
      <c r="AR44" s="31"/>
      <c r="AS44" s="32"/>
      <c r="AT44" s="32"/>
      <c r="AU44" s="32"/>
      <c r="AV44" s="32"/>
      <c r="AW44" s="32"/>
      <c r="AX44" s="31"/>
      <c r="AY44" s="32"/>
      <c r="AZ44" s="32"/>
      <c r="BA44" s="32"/>
      <c r="BB44" s="32"/>
      <c r="BC44" s="32"/>
      <c r="BD44" s="31"/>
      <c r="BE44" s="32"/>
      <c r="BF44" s="32"/>
      <c r="BG44" s="32"/>
      <c r="BH44" s="32"/>
      <c r="BI44" s="32"/>
      <c r="BJ44" s="31"/>
      <c r="BK44" s="32"/>
      <c r="BL44" s="32"/>
      <c r="BM44" s="32"/>
      <c r="BN44" s="32"/>
      <c r="BO44" s="32"/>
      <c r="BP44" s="31"/>
      <c r="BQ44" s="32"/>
      <c r="BR44" s="32"/>
      <c r="BS44" s="32"/>
      <c r="BT44" s="32"/>
      <c r="BU44" s="32"/>
      <c r="BV44" s="31"/>
      <c r="BW44" s="32"/>
      <c r="BX44" s="32"/>
      <c r="BY44" s="32"/>
      <c r="BZ44" s="32"/>
      <c r="CA44" s="32"/>
      <c r="CB44" s="31"/>
      <c r="CC44" s="32"/>
      <c r="CD44" s="32"/>
      <c r="CE44" s="32"/>
      <c r="CF44" s="32"/>
      <c r="CG44" s="32"/>
      <c r="CH44" s="31"/>
      <c r="CI44" s="32"/>
      <c r="CJ44" s="14">
        <v>0.39879999999999999</v>
      </c>
      <c r="CK44" s="14">
        <v>0.39879999999999999</v>
      </c>
      <c r="CL44" s="14"/>
      <c r="CM44" s="14">
        <v>0.39879999999999999</v>
      </c>
      <c r="CN44" s="15">
        <v>0.39879999999999999</v>
      </c>
      <c r="CO44" s="32"/>
      <c r="CP44" s="32"/>
      <c r="CQ44" s="32"/>
      <c r="CR44" s="32"/>
      <c r="CS44" s="32"/>
      <c r="CT44" s="31"/>
      <c r="CU44" s="32"/>
      <c r="CV44" s="32"/>
      <c r="CW44" s="32"/>
      <c r="CX44" s="32"/>
      <c r="CY44" s="32"/>
      <c r="CZ44" s="31"/>
      <c r="DA44" s="32"/>
      <c r="DB44" s="32"/>
      <c r="DC44" s="32"/>
      <c r="DD44" s="32"/>
      <c r="DE44" s="32"/>
      <c r="DF44" s="31"/>
      <c r="DG44" s="32"/>
      <c r="DH44" s="32"/>
      <c r="DI44" s="32"/>
      <c r="DJ44" s="32"/>
      <c r="DK44" s="32"/>
      <c r="DL44" s="31"/>
      <c r="DM44" s="32"/>
      <c r="DN44" s="32"/>
      <c r="DO44" s="32"/>
      <c r="DP44" s="32"/>
      <c r="DQ44" s="32"/>
      <c r="DR44" s="31"/>
      <c r="DS44" s="32"/>
      <c r="DT44" s="32"/>
      <c r="DU44" s="32"/>
      <c r="DV44" s="32"/>
      <c r="DW44" s="32"/>
      <c r="DX44" s="31"/>
      <c r="DY44" s="32"/>
      <c r="DZ44" s="32"/>
      <c r="EA44" s="32"/>
      <c r="EB44" s="32"/>
      <c r="EC44" s="32"/>
      <c r="ED44" s="31"/>
      <c r="EE44" s="32"/>
      <c r="EF44" s="32"/>
      <c r="EG44" s="32"/>
      <c r="EH44" s="32"/>
      <c r="EI44" s="32"/>
      <c r="EJ44" s="31"/>
      <c r="EK44" s="32"/>
      <c r="EL44" s="32"/>
      <c r="EM44" s="32"/>
      <c r="EN44" s="32"/>
      <c r="EO44" s="32"/>
      <c r="EP44" s="31"/>
      <c r="EQ44" s="32"/>
      <c r="ER44" s="32"/>
      <c r="ES44" s="32"/>
      <c r="ET44" s="32"/>
      <c r="EU44" s="32"/>
      <c r="EV44" s="31"/>
      <c r="EW44" s="32"/>
      <c r="EX44" s="32"/>
      <c r="EY44" s="32"/>
      <c r="EZ44" s="32"/>
      <c r="FA44" s="32"/>
      <c r="FB44" s="31"/>
      <c r="FC44" s="32"/>
      <c r="FD44" s="32"/>
      <c r="FE44" s="32"/>
      <c r="FF44" s="32"/>
      <c r="FG44" s="32"/>
      <c r="FH44" s="31"/>
      <c r="FI44" s="32"/>
      <c r="FJ44" s="32"/>
      <c r="FK44" s="32"/>
      <c r="FL44" s="32"/>
      <c r="FM44" s="32"/>
      <c r="FN44" s="31"/>
      <c r="FO44" s="32"/>
      <c r="FP44" s="32"/>
      <c r="FQ44" s="32"/>
      <c r="FR44" s="32"/>
      <c r="FS44" s="32"/>
      <c r="FT44" s="31"/>
      <c r="FU44" s="32"/>
      <c r="FV44" s="32"/>
      <c r="FW44" s="32"/>
      <c r="FX44" s="32"/>
      <c r="FY44" s="32"/>
      <c r="FZ44" s="31"/>
      <c r="GA44" s="32"/>
      <c r="GB44" s="32"/>
      <c r="GC44" s="32"/>
      <c r="GD44" s="32"/>
      <c r="GE44" s="32"/>
      <c r="GF44" s="31"/>
      <c r="GG44" s="32"/>
      <c r="GH44" s="32"/>
      <c r="GI44" s="32"/>
      <c r="GJ44" s="32"/>
      <c r="GK44" s="32"/>
      <c r="GL44" s="31"/>
      <c r="GM44" s="32"/>
      <c r="GN44" s="32"/>
      <c r="GO44" s="32"/>
      <c r="GP44" s="32"/>
      <c r="GQ44" s="32"/>
      <c r="GR44" s="31"/>
      <c r="GS44" s="32"/>
      <c r="GT44" s="32"/>
      <c r="GU44" s="32"/>
      <c r="GV44" s="32"/>
      <c r="GW44" s="32"/>
      <c r="GX44" s="31"/>
      <c r="GY44" s="32"/>
      <c r="GZ44" s="32"/>
      <c r="HA44" s="32"/>
      <c r="HB44" s="32"/>
      <c r="HC44" s="32"/>
      <c r="HD44" s="31"/>
      <c r="HE44" s="32"/>
      <c r="HF44" s="32"/>
      <c r="HG44" s="32"/>
      <c r="HH44" s="32"/>
      <c r="HI44" s="32"/>
      <c r="HJ44" s="31"/>
      <c r="HK44" s="32"/>
      <c r="HL44" s="32"/>
      <c r="HM44" s="32"/>
      <c r="HN44" s="32"/>
      <c r="HO44" s="32"/>
      <c r="HP44" s="31"/>
      <c r="HQ44" s="32"/>
      <c r="HR44" s="32"/>
      <c r="HS44" s="32"/>
      <c r="HT44" s="32"/>
      <c r="HU44" s="32"/>
      <c r="HV44" s="31"/>
      <c r="HW44" s="32"/>
      <c r="HX44" s="32"/>
      <c r="HY44" s="32"/>
      <c r="HZ44" s="32"/>
      <c r="IA44" s="32"/>
      <c r="IB44" s="31"/>
      <c r="IC44" s="32"/>
      <c r="ID44" s="32"/>
      <c r="IE44" s="32"/>
      <c r="IF44" s="32"/>
      <c r="IG44" s="32"/>
      <c r="IH44" s="31"/>
      <c r="II44" s="32"/>
      <c r="IJ44" s="32"/>
      <c r="IK44" s="32"/>
      <c r="IL44" s="32"/>
      <c r="IM44" s="32"/>
      <c r="IN44" s="31"/>
      <c r="IO44" s="32"/>
      <c r="IP44" s="32"/>
      <c r="IQ44" s="32"/>
      <c r="IR44" s="32"/>
      <c r="IS44" s="32"/>
      <c r="IT44" s="31"/>
      <c r="IU44" s="32"/>
      <c r="IV44" s="32"/>
      <c r="IW44" s="32"/>
      <c r="IX44" s="32"/>
      <c r="IY44" s="32"/>
      <c r="IZ44" s="31"/>
      <c r="JA44" s="32"/>
      <c r="JB44" s="32"/>
      <c r="JC44" s="32"/>
      <c r="JD44" s="32"/>
      <c r="JE44" s="32"/>
      <c r="JF44" s="31"/>
      <c r="JG44" s="32"/>
      <c r="JH44" s="32"/>
      <c r="JI44" s="32"/>
      <c r="JJ44" s="32"/>
      <c r="JK44" s="32"/>
      <c r="JL44" s="31"/>
      <c r="JM44" s="32"/>
      <c r="JN44" s="32"/>
      <c r="JO44" s="32"/>
      <c r="JP44" s="32"/>
      <c r="JQ44" s="32"/>
      <c r="JR44" s="31"/>
      <c r="JS44" s="32"/>
      <c r="JT44" s="32"/>
      <c r="JU44" s="32"/>
      <c r="JV44" s="32"/>
      <c r="JW44" s="32"/>
      <c r="JX44" s="31"/>
      <c r="JY44" s="32"/>
      <c r="JZ44" s="32"/>
      <c r="KA44" s="32"/>
      <c r="KB44" s="32"/>
      <c r="KC44" s="32"/>
      <c r="KD44" s="31"/>
      <c r="KE44" s="32"/>
      <c r="KF44" s="32"/>
      <c r="KG44" s="32"/>
      <c r="KH44" s="32"/>
      <c r="KI44" s="32"/>
      <c r="KJ44" s="31"/>
      <c r="KK44" s="32"/>
      <c r="KL44" s="32"/>
      <c r="KM44" s="32"/>
      <c r="KN44" s="32"/>
      <c r="KO44" s="32"/>
      <c r="KP44" s="31"/>
      <c r="KQ44" s="14"/>
      <c r="KR44" s="14"/>
      <c r="KS44" s="14"/>
      <c r="KT44" s="14"/>
      <c r="KU44" s="14"/>
      <c r="KV44" s="15"/>
      <c r="KW44" s="32"/>
      <c r="KX44" s="32"/>
      <c r="KY44" s="32"/>
      <c r="KZ44" s="32"/>
      <c r="LA44" s="32"/>
      <c r="LB44" s="31"/>
      <c r="LC44" s="32"/>
      <c r="LD44" s="32"/>
      <c r="LE44" s="32"/>
      <c r="LF44" s="32"/>
      <c r="LG44" s="32"/>
      <c r="LH44" s="31"/>
      <c r="LI44" s="32"/>
      <c r="LJ44" s="32"/>
      <c r="LK44" s="32"/>
      <c r="LL44" s="32"/>
      <c r="LM44" s="32"/>
      <c r="LN44" s="31"/>
      <c r="LO44" s="32"/>
      <c r="LP44" s="32"/>
      <c r="LQ44" s="32"/>
      <c r="LR44" s="32"/>
      <c r="LS44" s="32"/>
      <c r="LT44" s="31"/>
      <c r="LU44" s="32"/>
      <c r="LV44" s="32"/>
      <c r="LW44" s="32"/>
      <c r="LX44" s="32"/>
      <c r="LY44" s="32"/>
      <c r="LZ44" s="31"/>
      <c r="MA44" s="32"/>
      <c r="MB44" s="32"/>
      <c r="MC44" s="32"/>
      <c r="MD44" s="32"/>
      <c r="ME44" s="32"/>
      <c r="MF44" s="31"/>
    </row>
    <row r="45" spans="1:344" x14ac:dyDescent="0.45">
      <c r="B45" s="17" t="s">
        <v>301</v>
      </c>
      <c r="FI45" s="14">
        <v>0.2</v>
      </c>
      <c r="FJ45" s="14">
        <v>0.2</v>
      </c>
      <c r="FK45" s="14">
        <v>0.2</v>
      </c>
      <c r="FL45" s="14">
        <v>0.2</v>
      </c>
      <c r="FM45" s="14">
        <v>0.2</v>
      </c>
      <c r="FN45" s="15">
        <v>0.2</v>
      </c>
    </row>
    <row r="46" spans="1:344" x14ac:dyDescent="0.45">
      <c r="B46" s="17" t="s">
        <v>302</v>
      </c>
    </row>
    <row r="47" spans="1:344" x14ac:dyDescent="0.45">
      <c r="B47" s="15" t="s">
        <v>303</v>
      </c>
    </row>
    <row r="48" spans="1:344" x14ac:dyDescent="0.45">
      <c r="B48" s="15" t="s">
        <v>304</v>
      </c>
    </row>
  </sheetData>
  <mergeCells count="9">
    <mergeCell ref="A32:A40"/>
    <mergeCell ref="A29:A31"/>
    <mergeCell ref="A6:A7"/>
    <mergeCell ref="A3:A5"/>
    <mergeCell ref="A1:B2"/>
    <mergeCell ref="A8:A18"/>
    <mergeCell ref="A20:A23"/>
    <mergeCell ref="A24:A25"/>
    <mergeCell ref="A26:A28"/>
  </mergeCells>
  <phoneticPr fontId="2"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D68C8AA-1DE6-46AF-B302-807DB8B1FE78}">
          <x14:formula1>
            <xm:f>니케스팩!$B$7:$B$12</xm:f>
          </x14:formula1>
          <xm:sqref>E1 Q1 AI1 AO1 AU1 BA1 BG1 BM1 BS1 BY1 CE1 CK1 CQ1 CW1 DC1 DI1 DO1 DU1 EA1 W1 EM1 ES1 EY1 FE1 FK1 EG1 FW1 FQ1 GC1 GI1 GO1 HM1 GU1 HA1 HY1 IE1 IK1 IQ1 JC1 JI1 AC1 JU1 HS1 JO1 K1 KA1 HG1 KG1 KM1 KY1 LE1 LK1 LQ1 LW1 IW1 KS1 MC1</xm:sqref>
        </x14:dataValidation>
        <x14:dataValidation type="list" allowBlank="1" showInputMessage="1" showErrorMessage="1" xr:uid="{2C10D8F9-AAFD-4EAC-858F-B478B5116AA5}">
          <x14:formula1>
            <xm:f>니케스팩!$H$3:$J$3</xm:f>
          </x14:formula1>
          <xm:sqref>D1 P1 AH1 AN1 AT1 AZ1 BF1 BL1 BR1 BX1 CD1 CJ1 CP1 CV1 DB1 DH1 DN1 DT1 DZ1 V1 EL1 ER1 EX1 FD1 FJ1 EF1 FV1 FP1 GB1 GH1 GN1 HL1 GT1 GZ1 HX1 ID1 IJ1 IP1 JB1 JH1 AB1 JT1 HR1 JN1 J1 JZ1 HF1 KF1 KL1 KX1 LD1 LJ1 LP1 LV1 IV1 KR1 MB1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메인</vt:lpstr>
      <vt:lpstr>니케목록</vt:lpstr>
      <vt:lpstr>니케스팩</vt:lpstr>
      <vt:lpstr>딜량계산</vt:lpstr>
      <vt:lpstr>버프정리</vt:lpstr>
      <vt:lpstr>딜러데이터</vt:lpstr>
      <vt:lpstr>서포터데이터</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현준 정</dc:creator>
  <cp:keywords/>
  <dc:description/>
  <cp:lastModifiedBy>현준 정</cp:lastModifiedBy>
  <cp:revision/>
  <dcterms:created xsi:type="dcterms:W3CDTF">2025-08-17T02:23:28Z</dcterms:created>
  <dcterms:modified xsi:type="dcterms:W3CDTF">2026-08-02T17:20:12Z</dcterms:modified>
  <cp:category/>
  <cp:contentStatus/>
</cp:coreProperties>
</file>